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9A4B25B-4DDE-412A-ABF9-E135FA3F8E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set" sheetId="1" r:id="rId1"/>
    <sheet name="Working_sheet" sheetId="2" r:id="rId2"/>
    <sheet name="Assignement_Tab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B44" i="3" l="1"/>
  <c r="B43" i="3"/>
  <c r="B42" i="3"/>
  <c r="E42" i="2"/>
  <c r="E43" i="2"/>
  <c r="F43" i="2" s="1"/>
  <c r="B2" i="2"/>
  <c r="C2" i="2"/>
  <c r="D2" i="2"/>
  <c r="H2" i="2"/>
  <c r="B3" i="2"/>
  <c r="C3" i="2"/>
  <c r="D3" i="2"/>
  <c r="H3" i="2"/>
  <c r="B4" i="2"/>
  <c r="C4" i="2"/>
  <c r="D4" i="2"/>
  <c r="H4" i="2"/>
  <c r="B5" i="2"/>
  <c r="C5" i="2"/>
  <c r="D5" i="2"/>
  <c r="H5" i="2"/>
  <c r="B6" i="2"/>
  <c r="C6" i="2"/>
  <c r="D6" i="2"/>
  <c r="H6" i="2"/>
  <c r="B7" i="2"/>
  <c r="C7" i="2"/>
  <c r="D7" i="2"/>
  <c r="H7" i="2"/>
  <c r="B8" i="2"/>
  <c r="C8" i="2"/>
  <c r="D8" i="2"/>
  <c r="H8" i="2"/>
  <c r="B9" i="2"/>
  <c r="C9" i="2"/>
  <c r="D9" i="2"/>
  <c r="H9" i="2"/>
  <c r="B10" i="2"/>
  <c r="C10" i="2"/>
  <c r="D10" i="2"/>
  <c r="H10" i="2"/>
  <c r="B11" i="2"/>
  <c r="C11" i="2"/>
  <c r="D11" i="2"/>
  <c r="H11" i="2"/>
  <c r="B12" i="2"/>
  <c r="C12" i="2"/>
  <c r="D12" i="2"/>
  <c r="H12" i="2"/>
  <c r="B13" i="2"/>
  <c r="C13" i="2"/>
  <c r="D13" i="2"/>
  <c r="H13" i="2"/>
  <c r="B14" i="2"/>
  <c r="C14" i="2"/>
  <c r="D14" i="2"/>
  <c r="H14" i="2"/>
  <c r="B15" i="2"/>
  <c r="C15" i="2"/>
  <c r="D15" i="2"/>
  <c r="H15" i="2"/>
  <c r="B16" i="2"/>
  <c r="C16" i="2"/>
  <c r="D16" i="2"/>
  <c r="H16" i="2"/>
  <c r="B17" i="2"/>
  <c r="C17" i="2"/>
  <c r="D17" i="2"/>
  <c r="H17" i="2"/>
  <c r="B18" i="2"/>
  <c r="C18" i="2"/>
  <c r="D18" i="2"/>
  <c r="H18" i="2"/>
  <c r="B19" i="2"/>
  <c r="C19" i="2"/>
  <c r="D19" i="2"/>
  <c r="H19" i="2"/>
  <c r="B20" i="2"/>
  <c r="C20" i="2"/>
  <c r="D20" i="2"/>
  <c r="H20" i="2"/>
  <c r="B21" i="2"/>
  <c r="C21" i="2"/>
  <c r="D21" i="2"/>
  <c r="H21" i="2"/>
  <c r="B22" i="2"/>
  <c r="C22" i="2"/>
  <c r="D22" i="2"/>
  <c r="H22" i="2"/>
  <c r="B23" i="2"/>
  <c r="C23" i="2"/>
  <c r="D23" i="2"/>
  <c r="H23" i="2"/>
  <c r="B24" i="2"/>
  <c r="C24" i="2"/>
  <c r="D24" i="2"/>
  <c r="H24" i="2"/>
  <c r="B25" i="2"/>
  <c r="C25" i="2"/>
  <c r="D25" i="2"/>
  <c r="H25" i="2"/>
  <c r="B26" i="2"/>
  <c r="C26" i="2"/>
  <c r="D26" i="2"/>
  <c r="H26" i="2"/>
  <c r="B27" i="2"/>
  <c r="C27" i="2"/>
  <c r="D27" i="2"/>
  <c r="H27" i="2"/>
  <c r="B28" i="2"/>
  <c r="C28" i="2"/>
  <c r="D28" i="2"/>
  <c r="H28" i="2"/>
  <c r="B29" i="2"/>
  <c r="C29" i="2"/>
  <c r="D29" i="2"/>
  <c r="H29" i="2"/>
  <c r="B30" i="2"/>
  <c r="C30" i="2"/>
  <c r="D30" i="2"/>
  <c r="H30" i="2"/>
  <c r="B31" i="2"/>
  <c r="C31" i="2"/>
  <c r="D31" i="2"/>
  <c r="H31" i="2"/>
  <c r="B32" i="2"/>
  <c r="C32" i="2"/>
  <c r="D32" i="2"/>
  <c r="H32" i="2"/>
  <c r="B33" i="2"/>
  <c r="C33" i="2"/>
  <c r="D33" i="2"/>
  <c r="H33" i="2"/>
  <c r="B34" i="2"/>
  <c r="C34" i="2"/>
  <c r="D34" i="2"/>
  <c r="H34" i="2"/>
  <c r="B35" i="2"/>
  <c r="C35" i="2"/>
  <c r="D35" i="2"/>
  <c r="H35" i="2"/>
  <c r="H35" i="3"/>
  <c r="D35" i="3"/>
  <c r="C35" i="3"/>
  <c r="B35" i="3"/>
  <c r="H34" i="3"/>
  <c r="D34" i="3"/>
  <c r="C34" i="3"/>
  <c r="B34" i="3"/>
  <c r="H33" i="3"/>
  <c r="D33" i="3"/>
  <c r="C33" i="3"/>
  <c r="B33" i="3"/>
  <c r="H32" i="3"/>
  <c r="D32" i="3"/>
  <c r="C32" i="3"/>
  <c r="B32" i="3"/>
  <c r="H31" i="3"/>
  <c r="D31" i="3"/>
  <c r="C31" i="3"/>
  <c r="B31" i="3"/>
  <c r="H30" i="3"/>
  <c r="D30" i="3"/>
  <c r="C30" i="3"/>
  <c r="B30" i="3"/>
  <c r="H29" i="3"/>
  <c r="D29" i="3"/>
  <c r="C29" i="3"/>
  <c r="B29" i="3"/>
  <c r="H28" i="3"/>
  <c r="D28" i="3"/>
  <c r="C28" i="3"/>
  <c r="B28" i="3"/>
  <c r="H27" i="3"/>
  <c r="D27" i="3"/>
  <c r="C27" i="3"/>
  <c r="B27" i="3"/>
  <c r="H26" i="3"/>
  <c r="D26" i="3"/>
  <c r="C26" i="3"/>
  <c r="B26" i="3"/>
  <c r="H25" i="3"/>
  <c r="D25" i="3"/>
  <c r="C25" i="3"/>
  <c r="B25" i="3"/>
  <c r="H24" i="3"/>
  <c r="D24" i="3"/>
  <c r="C24" i="3"/>
  <c r="B24" i="3"/>
  <c r="H23" i="3"/>
  <c r="D23" i="3"/>
  <c r="C23" i="3"/>
  <c r="B23" i="3"/>
  <c r="H22" i="3"/>
  <c r="D22" i="3"/>
  <c r="C22" i="3"/>
  <c r="B22" i="3"/>
  <c r="H21" i="3"/>
  <c r="D21" i="3"/>
  <c r="C21" i="3"/>
  <c r="B21" i="3"/>
  <c r="H20" i="3"/>
  <c r="D20" i="3"/>
  <c r="C20" i="3"/>
  <c r="B20" i="3"/>
  <c r="H19" i="3"/>
  <c r="D19" i="3"/>
  <c r="C19" i="3"/>
  <c r="B19" i="3"/>
  <c r="H18" i="3"/>
  <c r="D18" i="3"/>
  <c r="C18" i="3"/>
  <c r="B18" i="3"/>
  <c r="H17" i="3"/>
  <c r="D17" i="3"/>
  <c r="C17" i="3"/>
  <c r="B17" i="3"/>
  <c r="H16" i="3"/>
  <c r="D16" i="3"/>
  <c r="C16" i="3"/>
  <c r="B16" i="3"/>
  <c r="H15" i="3"/>
  <c r="D15" i="3"/>
  <c r="C15" i="3"/>
  <c r="B15" i="3"/>
  <c r="H14" i="3"/>
  <c r="D14" i="3"/>
  <c r="C14" i="3"/>
  <c r="B14" i="3"/>
  <c r="H13" i="3"/>
  <c r="D13" i="3"/>
  <c r="C13" i="3"/>
  <c r="B13" i="3"/>
  <c r="H12" i="3"/>
  <c r="D12" i="3"/>
  <c r="C12" i="3"/>
  <c r="B12" i="3"/>
  <c r="H11" i="3"/>
  <c r="D11" i="3"/>
  <c r="C11" i="3"/>
  <c r="B11" i="3"/>
  <c r="H10" i="3"/>
  <c r="D10" i="3"/>
  <c r="C10" i="3"/>
  <c r="B10" i="3"/>
  <c r="H9" i="3"/>
  <c r="D9" i="3"/>
  <c r="C9" i="3"/>
  <c r="B9" i="3"/>
  <c r="H8" i="3"/>
  <c r="D8" i="3"/>
  <c r="C8" i="3"/>
  <c r="B8" i="3"/>
  <c r="H7" i="3"/>
  <c r="D7" i="3"/>
  <c r="C7" i="3"/>
  <c r="B7" i="3"/>
  <c r="H6" i="3"/>
  <c r="D6" i="3"/>
  <c r="C6" i="3"/>
  <c r="B6" i="3"/>
  <c r="H5" i="3"/>
  <c r="D5" i="3"/>
  <c r="C5" i="3"/>
  <c r="B5" i="3"/>
  <c r="H4" i="3"/>
  <c r="D4" i="3"/>
  <c r="C4" i="3"/>
  <c r="B4" i="3"/>
  <c r="H3" i="3"/>
  <c r="D3" i="3"/>
  <c r="C3" i="3"/>
  <c r="B3" i="3"/>
  <c r="H2" i="3"/>
  <c r="D2" i="3"/>
  <c r="C2" i="3"/>
  <c r="B2" i="3"/>
  <c r="E59" i="2"/>
  <c r="E57" i="2"/>
  <c r="E47" i="2"/>
  <c r="E46" i="2"/>
  <c r="E41" i="2"/>
</calcChain>
</file>

<file path=xl/sharedStrings.xml><?xml version="1.0" encoding="utf-8"?>
<sst xmlns="http://schemas.openxmlformats.org/spreadsheetml/2006/main" count="481" uniqueCount="140">
  <si>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</si>
  <si>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</si>
  <si>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</si>
  <si>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</si>
  <si>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</si>
  <si>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</si>
  <si>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</si>
  <si>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</si>
  <si>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</si>
  <si>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</si>
  <si>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</si>
  <si>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</si>
  <si>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</si>
  <si>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</si>
  <si>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</si>
  <si>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</si>
  <si>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</si>
  <si>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</si>
  <si>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</si>
  <si>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</si>
  <si>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</si>
  <si>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</si>
  <si>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</si>
  <si>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</si>
  <si>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</si>
  <si>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</si>
  <si>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</si>
  <si>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</si>
  <si>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</si>
  <si>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</si>
  <si>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</si>
  <si>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</si>
  <si>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</si>
  <si>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</si>
  <si>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</si>
  <si>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</si>
  <si>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</si>
  <si>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</si>
  <si>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</si>
  <si>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</si>
  <si>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</si>
  <si>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</si>
  <si>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</si>
  <si>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</si>
  <si>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</si>
  <si>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</si>
  <si>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</si>
  <si>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</si>
  <si>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</si>
  <si>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</si>
  <si>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</si>
  <si>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</si>
  <si>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</si>
  <si>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</si>
  <si>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</si>
  <si>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</si>
  <si>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</si>
  <si>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</si>
  <si>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</si>
  <si>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</si>
  <si>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</si>
  <si>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</si>
  <si>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</si>
  <si>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</si>
  <si>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</si>
  <si>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</si>
  <si>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</si>
  <si>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</si>
  <si>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</si>
  <si>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</si>
  <si>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</si>
  <si>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</si>
  <si>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</si>
  <si>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</si>
  <si>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</si>
  <si>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</si>
  <si>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</si>
  <si>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</si>
  <si>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</si>
  <si>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</si>
  <si>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</si>
  <si>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</si>
  <si>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</si>
  <si>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</si>
  <si>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</si>
  <si>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</si>
  <si>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</si>
  <si>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</si>
  <si>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</si>
  <si>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</si>
  <si>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</si>
  <si>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</si>
  <si>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</si>
  <si>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Questions</t>
  </si>
  <si>
    <t>Sum, Count, and Average</t>
  </si>
  <si>
    <t>Perform the following calculations using Excel functions:</t>
  </si>
  <si>
    <t>● Calculate the total price of all products in the dataset.</t>
  </si>
  <si>
    <t>● Determine how many products exist in the dataset.</t>
  </si>
  <si>
    <t>● Calculate the average price of the products.</t>
  </si>
  <si>
    <t>● Identify the maximum price among all products.</t>
  </si>
  <si>
    <t>● Identify the minimum price among all products.</t>
  </si>
  <si>
    <t>Logical Function – IF</t>
  </si>
  <si>
    <t>● Create a new column named Price Range.</t>
  </si>
  <si>
    <t>● Use the IF function to categorize products based on their price:</t>
  </si>
  <si>
    <t>○ If Price ≥ $500 → classify as High Price</t>
  </si>
  <si>
    <t>○ If Price &lt; $500 → classify as Standard Price</t>
  </si>
  <si>
    <t>Price Range</t>
  </si>
  <si>
    <t>Conditional Functions – SUMIF and COUNTIF</t>
  </si>
  <si>
    <t>Perform the following conditional calculations:</t>
  </si>
  <si>
    <t>● Use the SUMIF function to calculate the total price of products in the</t>
  </si>
  <si>
    <t>Electronics category.</t>
  </si>
  <si>
    <t>● Use the COUNTIF function to determine the number of products with a price</t>
  </si>
  <si>
    <t>less than $100.</t>
  </si>
  <si>
    <t>Text Formatting – LEFT, RIGHT, MID</t>
  </si>
  <si>
    <t>● Use text functions to extract information from the Product ID column.</t>
  </si>
  <si>
    <t>● Create the following new columns:</t>
  </si>
  <si>
    <t>○ Create a new column named Day with the first 2 characters of each</t>
  </si>
  <si>
    <t>'Product ID' using the LEFT function.</t>
  </si>
  <si>
    <t>○ Create a new column named Country Code by extracting the last 2</t>
  </si>
  <si>
    <t>characters from the 'Product ID' column using the RIGHT function.</t>
  </si>
  <si>
    <t>○ Create a new column named Month by extracting the 4th to 6th</t>
  </si>
  <si>
    <t>characters from the 'Product ID' column using the MID function.</t>
  </si>
  <si>
    <t>Day</t>
  </si>
  <si>
    <t>Country code</t>
  </si>
  <si>
    <t>Month</t>
  </si>
  <si>
    <t>Answers</t>
  </si>
  <si>
    <t>Data Exploration</t>
  </si>
  <si>
    <t>Total Price of all the products</t>
  </si>
  <si>
    <t>Total number of products</t>
  </si>
  <si>
    <t>Average price of products</t>
  </si>
  <si>
    <t>Minimum Price</t>
  </si>
  <si>
    <t>Maximum Price</t>
  </si>
  <si>
    <t>Total price of products in the Electronics Category</t>
  </si>
  <si>
    <t xml:space="preserve"> Number of products with a price less than $100.</t>
  </si>
  <si>
    <t>Column H</t>
  </si>
  <si>
    <t>Country Code</t>
  </si>
  <si>
    <t>Column B</t>
  </si>
  <si>
    <t>Column c</t>
  </si>
  <si>
    <t>Column D</t>
  </si>
  <si>
    <t>Minimum and Maximum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</si>
</sst>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4"/>
      <color rgb="FF000000"/>
      <name val="Arial Black"/>
      <family val="2"/>
    </font>
    <font>
      <sz val="14"/>
      <color rgb="FF000000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rgb="FF4DD0E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6" fillId="6" borderId="0" xfId="0" applyFont="1" applyFill="1" applyAlignment="1">
      <alignment horizontal="left" indent="48"/>
    </xf>
    <xf numFmtId="0" fontId="7" fillId="6" borderId="0" xfId="0" applyFont="1" applyFill="1" applyAlignment="1">
      <alignment horizontal="left" indent="48"/>
    </xf>
    <xf numFmtId="0" fontId="5" fillId="0" borderId="0" xfId="0" applyFont="1" applyAlignment="1">
      <alignment horizontal="left"/>
    </xf>
    <xf numFmtId="0" fontId="5" fillId="7" borderId="0" xfId="0" applyFont="1" applyFill="1" applyAlignment="1">
      <alignment horizontal="left" indent="41"/>
    </xf>
    <xf numFmtId="0" fontId="0" fillId="0" borderId="0" xfId="0" applyFont="1" applyAlignment="1">
      <alignment horizontal="left"/>
    </xf>
    <xf numFmtId="0" fontId="0" fillId="8" borderId="1" xfId="0" applyFont="1" applyFill="1" applyBorder="1" applyAlignment="1"/>
    <xf numFmtId="0" fontId="0" fillId="8" borderId="1" xfId="0" applyFont="1" applyFill="1" applyBorder="1" applyAlignment="1">
      <alignment horizontal="right"/>
    </xf>
    <xf numFmtId="0" fontId="5" fillId="8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left"/>
    </xf>
    <xf numFmtId="0" fontId="5" fillId="7" borderId="0" xfId="0" applyFont="1" applyFill="1" applyAlignment="1">
      <alignment horizontal="left" indent="41"/>
    </xf>
    <xf numFmtId="0" fontId="5" fillId="7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3" fillId="7" borderId="1" xfId="0" applyFont="1" applyFill="1" applyBorder="1" applyAlignment="1"/>
    <xf numFmtId="0" fontId="0" fillId="0" borderId="1" xfId="0" applyFont="1" applyBorder="1" applyAlignment="1"/>
    <xf numFmtId="0" fontId="5" fillId="0" borderId="1" xfId="0" applyFont="1" applyBorder="1" applyAlignment="1"/>
    <xf numFmtId="0" fontId="0" fillId="0" borderId="1" xfId="0" applyFont="1" applyBorder="1" applyAlignment="1">
      <alignment horizontal="left"/>
    </xf>
    <xf numFmtId="0" fontId="0" fillId="0" borderId="1" xfId="0" applyFont="1" applyBorder="1" applyAlignment="1"/>
    <xf numFmtId="0" fontId="5" fillId="0" borderId="1" xfId="0" applyFont="1" applyBorder="1" applyAlignment="1"/>
    <xf numFmtId="0" fontId="0" fillId="11" borderId="1" xfId="0" applyFont="1" applyFill="1" applyBorder="1" applyAlignmen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EEE65D-75A8-42AA-B6F9-E0A592122743}" name="Product_Dataset" displayName="Product_Dataset" ref="A1:J35" totalsRowShown="0" headerRowDxfId="19" dataDxfId="20">
  <autoFilter ref="A1:J35" xr:uid="{B6EEE65D-75A8-42AA-B6F9-E0A592122743}"/>
  <tableColumns count="10">
    <tableColumn id="1" xr3:uid="{7A5CE567-0258-4443-83F3-A58A337AF84A}" name="Product ID" dataDxfId="23"/>
    <tableColumn id="10" xr3:uid="{1D5DDCD7-9307-44E6-9D4A-6ADD9499A08B}" name="Day" dataDxfId="14">
      <calculatedColumnFormula>LEFT(Product_Dataset[[#This Row],[Product ID]],2)</calculatedColumnFormula>
    </tableColumn>
    <tableColumn id="13" xr3:uid="{D6622941-A49A-4283-8D16-15166C1C41D5}" name="Month" dataDxfId="12">
      <calculatedColumnFormula>MID(Product_Dataset[[#This Row],[Product ID]],4,3)</calculatedColumnFormula>
    </tableColumn>
    <tableColumn id="12" xr3:uid="{D21CAE4D-6E69-4385-954B-09D4AFD531D0}" name="Country code" dataDxfId="13">
      <calculatedColumnFormula>RIGHT(Product_Dataset[[#This Row],[Product ID]],2)</calculatedColumnFormula>
    </tableColumn>
    <tableColumn id="2" xr3:uid="{0BED5477-EEC9-4BFA-B4E9-8C41260449A7}" name="Product Name" dataDxfId="22"/>
    <tableColumn id="3" xr3:uid="{E0766D82-65C4-4E7B-9BBE-045335B37EC2}" name="Brand Name" dataDxfId="18"/>
    <tableColumn id="4" xr3:uid="{750C2524-8E0A-4027-AC62-8C211A76D204}" name="Price ($)" dataDxfId="17"/>
    <tableColumn id="9" xr3:uid="{C038885C-00A2-480D-A1B2-2A789DC934B6}" name="Price Range" dataDxfId="15">
      <calculatedColumnFormula>IF(Product_Dataset[Price ($)]&gt;=500,"High Price","standard Price")</calculatedColumnFormula>
    </tableColumn>
    <tableColumn id="5" xr3:uid="{EC051DA8-5F05-4C47-9B09-B79B24870180}" name="Quantity" dataDxfId="16"/>
    <tableColumn id="6" xr3:uid="{F7E8C74C-3745-4553-92F1-5E3B7C633474}" name="Category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470B4F-5444-4648-8B12-B4D2C129C985}" name="Product_Dataset3" displayName="Product_Dataset3" ref="A1:J35" totalsRowShown="0" headerRowDxfId="11" dataDxfId="10">
  <autoFilter ref="A1:J35" xr:uid="{12470B4F-5444-4648-8B12-B4D2C129C985}"/>
  <tableColumns count="10">
    <tableColumn id="1" xr3:uid="{CB124AC0-FE41-4C92-A80C-2D1F959A9C41}" name="Product ID" dataDxfId="6"/>
    <tableColumn id="10" xr3:uid="{89BF8DAC-AE08-4806-BDBE-47E41AA1E2D4}" name="Day" dataDxfId="7">
      <calculatedColumnFormula>LEFT(Product_Dataset3[[#This Row],[Product ID]],2)</calculatedColumnFormula>
    </tableColumn>
    <tableColumn id="13" xr3:uid="{FF8DA43A-AAAC-4C3E-97CA-58597BBC158B}" name="Month" dataDxfId="8">
      <calculatedColumnFormula>MID(Product_Dataset3[[#This Row],[Product ID]],4,3)</calculatedColumnFormula>
    </tableColumn>
    <tableColumn id="12" xr3:uid="{E6F784AA-95C5-4E61-A9AE-01479374CF4E}" name="Country code" dataDxfId="5">
      <calculatedColumnFormula>RIGHT(Product_Dataset3[[#This Row],[Product ID]],2)</calculatedColumnFormula>
    </tableColumn>
    <tableColumn id="2" xr3:uid="{DFA4B5CA-E5C2-481C-9D74-1927CC31197D}" name="Product Name" dataDxfId="4"/>
    <tableColumn id="3" xr3:uid="{5D50C327-6848-4F89-A25B-0BC53D2589CB}" name="Brand Name" dataDxfId="2"/>
    <tableColumn id="4" xr3:uid="{3F5FFE19-DBCA-44A7-AABE-4D36C40FB6EC}" name="Price ($)" dataDxfId="3"/>
    <tableColumn id="9" xr3:uid="{17846BDF-1789-49EB-9139-7D5116436913}" name="Price Range" dataDxfId="9">
      <calculatedColumnFormula>IF(Product_Dataset3[Price ($)]&gt;=500,"High Price","standard Price")</calculatedColumnFormula>
    </tableColumn>
    <tableColumn id="5" xr3:uid="{F58E2E1E-A2AB-4333-BDA7-36760A39006F}" name="Quantity" dataDxfId="1"/>
    <tableColumn id="6" xr3:uid="{F9B5D8E8-8101-4BDF-BDC6-12271F484AA9}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topLeftCell="A17" workbookViewId="0">
      <selection activeCell="D14" sqref="D14"/>
    </sheetView>
  </sheetViews>
  <sheetFormatPr defaultColWidth="12.6328125" defaultRowHeight="15" customHeight="1" x14ac:dyDescent="0.25"/>
  <cols>
    <col min="2" max="2" width="14.0898437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57" workbookViewId="0">
      <selection activeCell="A62" sqref="A62:XFD62"/>
    </sheetView>
  </sheetViews>
  <sheetFormatPr defaultColWidth="12.6328125" defaultRowHeight="12.5" x14ac:dyDescent="0.25"/>
  <cols>
    <col min="1" max="1" width="17.81640625" customWidth="1"/>
    <col min="2" max="2" width="12.54296875" customWidth="1"/>
    <col min="3" max="3" width="32.1796875" customWidth="1"/>
    <col min="4" max="4" width="8.54296875" customWidth="1"/>
    <col min="5" max="5" width="15" customWidth="1"/>
    <col min="6" max="6" width="13.36328125" customWidth="1"/>
    <col min="7" max="7" width="15.90625" style="10" customWidth="1"/>
    <col min="8" max="8" width="12.6328125" style="10"/>
  </cols>
  <sheetData>
    <row r="1" spans="1:11" ht="15.75" customHeight="1" x14ac:dyDescent="0.3">
      <c r="A1" s="1" t="s">
        <v>0</v>
      </c>
      <c r="B1" s="6" t="s">
        <v>122</v>
      </c>
      <c r="C1" s="6" t="s">
        <v>124</v>
      </c>
      <c r="D1" s="6" t="s">
        <v>123</v>
      </c>
      <c r="E1" s="1" t="s">
        <v>1</v>
      </c>
      <c r="F1" s="1" t="s">
        <v>2</v>
      </c>
      <c r="G1" s="7" t="s">
        <v>3</v>
      </c>
      <c r="H1" s="11" t="s">
        <v>106</v>
      </c>
      <c r="I1" s="1" t="s">
        <v>4</v>
      </c>
      <c r="J1" s="1" t="s">
        <v>5</v>
      </c>
      <c r="K1" s="2"/>
    </row>
    <row r="2" spans="1:11" ht="15.75" customHeight="1" x14ac:dyDescent="0.25">
      <c r="A2" s="3" t="s">
        <v>6</v>
      </c>
      <c r="B2" s="3" t="str">
        <f>LEFT(Product_Dataset[[#This Row],[Product ID]],2)</f>
        <v>28</v>
      </c>
      <c r="C2" s="3" t="str">
        <f>MID(Product_Dataset[[#This Row],[Product ID]],4,3)</f>
        <v>JAN</v>
      </c>
      <c r="D2" s="3" t="str">
        <f>RIGHT(Product_Dataset[[#This Row],[Product ID]],2)</f>
        <v>US</v>
      </c>
      <c r="E2" s="3" t="s">
        <v>7</v>
      </c>
      <c r="F2" s="3" t="s">
        <v>8</v>
      </c>
      <c r="G2" s="8">
        <v>1000</v>
      </c>
      <c r="H2" s="8" t="str">
        <f>IF(Product_Dataset[Price ($)]&gt;=500,"High Price","standard Price")</f>
        <v>High Price</v>
      </c>
      <c r="I2" s="3">
        <v>30</v>
      </c>
      <c r="J2" s="3" t="s">
        <v>9</v>
      </c>
      <c r="K2" s="3"/>
    </row>
    <row r="3" spans="1:11" ht="15.75" customHeight="1" x14ac:dyDescent="0.25">
      <c r="A3" s="4" t="s">
        <v>10</v>
      </c>
      <c r="B3" s="4" t="str">
        <f>LEFT(Product_Dataset[[#This Row],[Product ID]],2)</f>
        <v>15</v>
      </c>
      <c r="C3" s="4" t="str">
        <f>MID(Product_Dataset[[#This Row],[Product ID]],4,3)</f>
        <v>FEB</v>
      </c>
      <c r="D3" s="4" t="str">
        <f>RIGHT(Product_Dataset[[#This Row],[Product ID]],2)</f>
        <v>US</v>
      </c>
      <c r="E3" s="4" t="s">
        <v>11</v>
      </c>
      <c r="F3" s="4" t="s">
        <v>12</v>
      </c>
      <c r="G3" s="9">
        <v>80</v>
      </c>
      <c r="H3" s="9" t="str">
        <f>IF(Product_Dataset[Price ($)]&gt;=500,"High Price","standard Price")</f>
        <v>standard Price</v>
      </c>
      <c r="I3" s="4">
        <v>15</v>
      </c>
      <c r="J3" s="4" t="s">
        <v>13</v>
      </c>
      <c r="K3" s="3"/>
    </row>
    <row r="4" spans="1:11" ht="15.75" customHeight="1" x14ac:dyDescent="0.25">
      <c r="A4" s="3" t="s">
        <v>14</v>
      </c>
      <c r="B4" s="3" t="str">
        <f>LEFT(Product_Dataset[[#This Row],[Product ID]],2)</f>
        <v>03</v>
      </c>
      <c r="C4" s="3" t="str">
        <f>MID(Product_Dataset[[#This Row],[Product ID]],4,3)</f>
        <v>MAR</v>
      </c>
      <c r="D4" s="3" t="str">
        <f>RIGHT(Product_Dataset[[#This Row],[Product ID]],2)</f>
        <v>US</v>
      </c>
      <c r="E4" s="3" t="s">
        <v>15</v>
      </c>
      <c r="F4" s="3" t="s">
        <v>16</v>
      </c>
      <c r="G4" s="8">
        <v>130</v>
      </c>
      <c r="H4" s="8" t="str">
        <f>IF(Product_Dataset[Price ($)]&gt;=500,"High Price","standard Price")</f>
        <v>standard Price</v>
      </c>
      <c r="I4" s="3">
        <v>40</v>
      </c>
      <c r="J4" s="3" t="s">
        <v>17</v>
      </c>
      <c r="K4" s="3"/>
    </row>
    <row r="5" spans="1:11" ht="15.75" customHeight="1" x14ac:dyDescent="0.25">
      <c r="A5" s="4" t="s">
        <v>18</v>
      </c>
      <c r="B5" s="4" t="str">
        <f>LEFT(Product_Dataset[[#This Row],[Product ID]],2)</f>
        <v>11</v>
      </c>
      <c r="C5" s="4" t="str">
        <f>MID(Product_Dataset[[#This Row],[Product ID]],4,3)</f>
        <v>APR</v>
      </c>
      <c r="D5" s="4" t="str">
        <f>RIGHT(Product_Dataset[[#This Row],[Product ID]],2)</f>
        <v>US</v>
      </c>
      <c r="E5" s="4" t="s">
        <v>19</v>
      </c>
      <c r="F5" s="4" t="s">
        <v>20</v>
      </c>
      <c r="G5" s="9">
        <v>900</v>
      </c>
      <c r="H5" s="9" t="str">
        <f>IF(Product_Dataset[Price ($)]&gt;=500,"High Price","standard Price")</f>
        <v>High Price</v>
      </c>
      <c r="I5" s="4">
        <v>25</v>
      </c>
      <c r="J5" s="4" t="s">
        <v>9</v>
      </c>
      <c r="K5" s="3"/>
    </row>
    <row r="6" spans="1:11" ht="15.75" customHeight="1" x14ac:dyDescent="0.25">
      <c r="A6" s="3" t="s">
        <v>21</v>
      </c>
      <c r="B6" s="3" t="str">
        <f>LEFT(Product_Dataset[[#This Row],[Product ID]],2)</f>
        <v>22</v>
      </c>
      <c r="C6" s="3" t="str">
        <f>MID(Product_Dataset[[#This Row],[Product ID]],4,3)</f>
        <v>MAY</v>
      </c>
      <c r="D6" s="3" t="str">
        <f>RIGHT(Product_Dataset[[#This Row],[Product ID]],2)</f>
        <v>US</v>
      </c>
      <c r="E6" s="3" t="s">
        <v>22</v>
      </c>
      <c r="F6" s="3" t="s">
        <v>23</v>
      </c>
      <c r="G6" s="8">
        <v>70</v>
      </c>
      <c r="H6" s="8" t="str">
        <f>IF(Product_Dataset[Price ($)]&gt;=500,"High Price","standard Price")</f>
        <v>standard Price</v>
      </c>
      <c r="I6" s="3">
        <v>20</v>
      </c>
      <c r="J6" s="3" t="s">
        <v>24</v>
      </c>
      <c r="K6" s="3"/>
    </row>
    <row r="7" spans="1:11" ht="15.75" customHeight="1" x14ac:dyDescent="0.25">
      <c r="A7" s="4" t="s">
        <v>25</v>
      </c>
      <c r="B7" s="4" t="str">
        <f>LEFT(Product_Dataset[[#This Row],[Product ID]],2)</f>
        <v>07</v>
      </c>
      <c r="C7" s="4" t="str">
        <f>MID(Product_Dataset[[#This Row],[Product ID]],4,3)</f>
        <v>JUN</v>
      </c>
      <c r="D7" s="4" t="str">
        <f>RIGHT(Product_Dataset[[#This Row],[Product ID]],2)</f>
        <v>UK</v>
      </c>
      <c r="E7" s="4" t="s">
        <v>26</v>
      </c>
      <c r="F7" s="4" t="s">
        <v>27</v>
      </c>
      <c r="G7" s="9">
        <v>200</v>
      </c>
      <c r="H7" s="9" t="str">
        <f>IF(Product_Dataset[Price ($)]&gt;=500,"High Price","standard Price")</f>
        <v>standard Price</v>
      </c>
      <c r="I7" s="4">
        <v>45</v>
      </c>
      <c r="J7" s="4" t="s">
        <v>9</v>
      </c>
      <c r="K7" s="3"/>
    </row>
    <row r="8" spans="1:11" ht="15.75" customHeight="1" x14ac:dyDescent="0.25">
      <c r="A8" s="3" t="s">
        <v>28</v>
      </c>
      <c r="B8" s="3" t="str">
        <f>LEFT(Product_Dataset[[#This Row],[Product ID]],2)</f>
        <v>19</v>
      </c>
      <c r="C8" s="3" t="str">
        <f>MID(Product_Dataset[[#This Row],[Product ID]],4,3)</f>
        <v>JUL</v>
      </c>
      <c r="D8" s="3" t="str">
        <f>RIGHT(Product_Dataset[[#This Row],[Product ID]],2)</f>
        <v>UK</v>
      </c>
      <c r="E8" s="3" t="s">
        <v>29</v>
      </c>
      <c r="F8" s="3" t="s">
        <v>30</v>
      </c>
      <c r="G8" s="8">
        <v>30</v>
      </c>
      <c r="H8" s="8" t="str">
        <f>IF(Product_Dataset[Price ($)]&gt;=500,"High Price","standard Price")</f>
        <v>standard Price</v>
      </c>
      <c r="I8" s="3">
        <v>5</v>
      </c>
      <c r="J8" s="3" t="s">
        <v>13</v>
      </c>
      <c r="K8" s="3"/>
    </row>
    <row r="9" spans="1:11" ht="15.75" customHeight="1" x14ac:dyDescent="0.25">
      <c r="A9" s="4" t="s">
        <v>31</v>
      </c>
      <c r="B9" s="4" t="str">
        <f>LEFT(Product_Dataset[[#This Row],[Product ID]],2)</f>
        <v>23</v>
      </c>
      <c r="C9" s="4" t="str">
        <f>MID(Product_Dataset[[#This Row],[Product ID]],4,3)</f>
        <v>AUG</v>
      </c>
      <c r="D9" s="4" t="str">
        <f>RIGHT(Product_Dataset[[#This Row],[Product ID]],2)</f>
        <v>UK</v>
      </c>
      <c r="E9" s="4" t="s">
        <v>32</v>
      </c>
      <c r="F9" s="4" t="s">
        <v>33</v>
      </c>
      <c r="G9" s="9">
        <v>90</v>
      </c>
      <c r="H9" s="9" t="str">
        <f>IF(Product_Dataset[Price ($)]&gt;=500,"High Price","standard Price")</f>
        <v>standard Price</v>
      </c>
      <c r="I9" s="4">
        <v>35</v>
      </c>
      <c r="J9" s="4" t="s">
        <v>17</v>
      </c>
      <c r="K9" s="3"/>
    </row>
    <row r="10" spans="1:11" ht="15.75" customHeight="1" x14ac:dyDescent="0.25">
      <c r="A10" s="3" t="s">
        <v>34</v>
      </c>
      <c r="B10" s="3" t="str">
        <f>LEFT(Product_Dataset[[#This Row],[Product ID]],2)</f>
        <v>05</v>
      </c>
      <c r="C10" s="3" t="str">
        <f>MID(Product_Dataset[[#This Row],[Product ID]],4,3)</f>
        <v>SEP</v>
      </c>
      <c r="D10" s="3" t="str">
        <f>RIGHT(Product_Dataset[[#This Row],[Product ID]],2)</f>
        <v>UK</v>
      </c>
      <c r="E10" s="3" t="s">
        <v>35</v>
      </c>
      <c r="F10" s="3" t="s">
        <v>36</v>
      </c>
      <c r="G10" s="8">
        <v>500</v>
      </c>
      <c r="H10" s="8" t="str">
        <f>IF(Product_Dataset[Price ($)]&gt;=500,"High Price","standard Price")</f>
        <v>High Price</v>
      </c>
      <c r="I10" s="3">
        <v>50</v>
      </c>
      <c r="J10" s="3" t="s">
        <v>9</v>
      </c>
      <c r="K10" s="3"/>
    </row>
    <row r="11" spans="1:11" ht="15.75" customHeight="1" x14ac:dyDescent="0.25">
      <c r="A11" s="4" t="s">
        <v>37</v>
      </c>
      <c r="B11" s="4" t="str">
        <f>LEFT(Product_Dataset[[#This Row],[Product ID]],2)</f>
        <v>14</v>
      </c>
      <c r="C11" s="4" t="str">
        <f>MID(Product_Dataset[[#This Row],[Product ID]],4,3)</f>
        <v>OCT</v>
      </c>
      <c r="D11" s="4" t="str">
        <f>RIGHT(Product_Dataset[[#This Row],[Product ID]],2)</f>
        <v>UK</v>
      </c>
      <c r="E11" s="4" t="s">
        <v>38</v>
      </c>
      <c r="F11" s="4" t="s">
        <v>39</v>
      </c>
      <c r="G11" s="9">
        <v>130</v>
      </c>
      <c r="H11" s="9" t="str">
        <f>IF(Product_Dataset[Price ($)]&gt;=500,"High Price","standard Price")</f>
        <v>standard Price</v>
      </c>
      <c r="I11" s="4">
        <v>10</v>
      </c>
      <c r="J11" s="4" t="s">
        <v>24</v>
      </c>
      <c r="K11" s="3"/>
    </row>
    <row r="12" spans="1:11" ht="15.75" customHeight="1" x14ac:dyDescent="0.25">
      <c r="A12" s="3" t="s">
        <v>40</v>
      </c>
      <c r="B12" s="3" t="str">
        <f>LEFT(Product_Dataset[[#This Row],[Product ID]],2)</f>
        <v>17</v>
      </c>
      <c r="C12" s="3" t="str">
        <f>MID(Product_Dataset[[#This Row],[Product ID]],4,3)</f>
        <v>JUN</v>
      </c>
      <c r="D12" s="3" t="str">
        <f>RIGHT(Product_Dataset[[#This Row],[Product ID]],2)</f>
        <v>IN</v>
      </c>
      <c r="E12" s="3" t="s">
        <v>7</v>
      </c>
      <c r="F12" s="3" t="s">
        <v>41</v>
      </c>
      <c r="G12" s="8">
        <v>950</v>
      </c>
      <c r="H12" s="8" t="str">
        <f>IF(Product_Dataset[Price ($)]&gt;=500,"High Price","standard Price")</f>
        <v>High Price</v>
      </c>
      <c r="I12" s="3">
        <v>25</v>
      </c>
      <c r="J12" s="3" t="s">
        <v>9</v>
      </c>
      <c r="K12" s="3"/>
    </row>
    <row r="13" spans="1:11" ht="15.75" customHeight="1" x14ac:dyDescent="0.25">
      <c r="A13" s="4" t="s">
        <v>42</v>
      </c>
      <c r="B13" s="4" t="str">
        <f>LEFT(Product_Dataset[[#This Row],[Product ID]],2)</f>
        <v>25</v>
      </c>
      <c r="C13" s="4" t="str">
        <f>MID(Product_Dataset[[#This Row],[Product ID]],4,3)</f>
        <v>NOV</v>
      </c>
      <c r="D13" s="4" t="str">
        <f>RIGHT(Product_Dataset[[#This Row],[Product ID]],2)</f>
        <v>AU</v>
      </c>
      <c r="E13" s="4" t="s">
        <v>11</v>
      </c>
      <c r="F13" s="4" t="s">
        <v>30</v>
      </c>
      <c r="G13" s="9">
        <v>90</v>
      </c>
      <c r="H13" s="9" t="str">
        <f>IF(Product_Dataset[Price ($)]&gt;=500,"High Price","standard Price")</f>
        <v>standard Price</v>
      </c>
      <c r="I13" s="4">
        <v>40</v>
      </c>
      <c r="J13" s="4" t="s">
        <v>13</v>
      </c>
      <c r="K13" s="3"/>
    </row>
    <row r="14" spans="1:11" ht="15.75" customHeight="1" x14ac:dyDescent="0.25">
      <c r="A14" s="3" t="s">
        <v>43</v>
      </c>
      <c r="B14" s="3" t="str">
        <f>LEFT(Product_Dataset[[#This Row],[Product ID]],2)</f>
        <v>08</v>
      </c>
      <c r="C14" s="3" t="str">
        <f>MID(Product_Dataset[[#This Row],[Product ID]],4,3)</f>
        <v>DEC</v>
      </c>
      <c r="D14" s="3" t="str">
        <f>RIGHT(Product_Dataset[[#This Row],[Product ID]],2)</f>
        <v>DE</v>
      </c>
      <c r="E14" s="3" t="s">
        <v>15</v>
      </c>
      <c r="F14" s="3" t="s">
        <v>44</v>
      </c>
      <c r="G14" s="8">
        <v>120</v>
      </c>
      <c r="H14" s="8" t="str">
        <f>IF(Product_Dataset[Price ($)]&gt;=500,"High Price","standard Price")</f>
        <v>standard Price</v>
      </c>
      <c r="I14" s="3">
        <v>35</v>
      </c>
      <c r="J14" s="3" t="s">
        <v>17</v>
      </c>
      <c r="K14" s="3"/>
    </row>
    <row r="15" spans="1:11" ht="15.75" customHeight="1" x14ac:dyDescent="0.25">
      <c r="A15" s="4" t="s">
        <v>45</v>
      </c>
      <c r="B15" s="4" t="str">
        <f>LEFT(Product_Dataset[[#This Row],[Product ID]],2)</f>
        <v>18</v>
      </c>
      <c r="C15" s="4" t="str">
        <f>MID(Product_Dataset[[#This Row],[Product ID]],4,3)</f>
        <v>FEB</v>
      </c>
      <c r="D15" s="4" t="str">
        <f>RIGHT(Product_Dataset[[#This Row],[Product ID]],2)</f>
        <v>CA</v>
      </c>
      <c r="E15" s="4" t="s">
        <v>46</v>
      </c>
      <c r="F15" s="4" t="s">
        <v>47</v>
      </c>
      <c r="G15" s="9">
        <v>150</v>
      </c>
      <c r="H15" s="9" t="str">
        <f>IF(Product_Dataset[Price ($)]&gt;=500,"High Price","standard Price")</f>
        <v>standard Price</v>
      </c>
      <c r="I15" s="4">
        <v>15</v>
      </c>
      <c r="J15" s="4" t="s">
        <v>9</v>
      </c>
      <c r="K15" s="3"/>
    </row>
    <row r="16" spans="1:11" ht="15.75" customHeight="1" x14ac:dyDescent="0.25">
      <c r="A16" s="3" t="s">
        <v>48</v>
      </c>
      <c r="B16" s="3" t="str">
        <f>LEFT(Product_Dataset[[#This Row],[Product ID]],2)</f>
        <v>16</v>
      </c>
      <c r="C16" s="3" t="str">
        <f>MID(Product_Dataset[[#This Row],[Product ID]],4,3)</f>
        <v>APR</v>
      </c>
      <c r="D16" s="3" t="str">
        <f>RIGHT(Product_Dataset[[#This Row],[Product ID]],2)</f>
        <v>ES</v>
      </c>
      <c r="E16" s="3" t="s">
        <v>26</v>
      </c>
      <c r="F16" s="3" t="s">
        <v>49</v>
      </c>
      <c r="G16" s="8">
        <v>250</v>
      </c>
      <c r="H16" s="8" t="str">
        <f>IF(Product_Dataset[Price ($)]&gt;=500,"High Price","standard Price")</f>
        <v>standard Price</v>
      </c>
      <c r="I16" s="3">
        <v>20</v>
      </c>
      <c r="J16" s="3" t="s">
        <v>9</v>
      </c>
      <c r="K16" s="3"/>
    </row>
    <row r="17" spans="1:11" ht="15.75" customHeight="1" x14ac:dyDescent="0.25">
      <c r="A17" s="4" t="s">
        <v>50</v>
      </c>
      <c r="B17" s="4" t="str">
        <f>LEFT(Product_Dataset[[#This Row],[Product ID]],2)</f>
        <v>21</v>
      </c>
      <c r="C17" s="4" t="str">
        <f>MID(Product_Dataset[[#This Row],[Product ID]],4,3)</f>
        <v>AUG</v>
      </c>
      <c r="D17" s="4" t="str">
        <f>RIGHT(Product_Dataset[[#This Row],[Product ID]],2)</f>
        <v>CA</v>
      </c>
      <c r="E17" s="4" t="s">
        <v>51</v>
      </c>
      <c r="F17" s="4" t="s">
        <v>52</v>
      </c>
      <c r="G17" s="9">
        <v>50</v>
      </c>
      <c r="H17" s="9" t="str">
        <f>IF(Product_Dataset[Price ($)]&gt;=500,"High Price","standard Price")</f>
        <v>standard Price</v>
      </c>
      <c r="I17" s="4">
        <v>35</v>
      </c>
      <c r="J17" s="4" t="s">
        <v>53</v>
      </c>
      <c r="K17" s="3"/>
    </row>
    <row r="18" spans="1:11" ht="15.75" customHeight="1" x14ac:dyDescent="0.25">
      <c r="A18" s="3" t="s">
        <v>54</v>
      </c>
      <c r="B18" s="3" t="str">
        <f>LEFT(Product_Dataset[[#This Row],[Product ID]],2)</f>
        <v>20</v>
      </c>
      <c r="C18" s="3" t="str">
        <f>MID(Product_Dataset[[#This Row],[Product ID]],4,3)</f>
        <v>AUG</v>
      </c>
      <c r="D18" s="3" t="str">
        <f>RIGHT(Product_Dataset[[#This Row],[Product ID]],2)</f>
        <v>CN</v>
      </c>
      <c r="E18" s="3" t="s">
        <v>46</v>
      </c>
      <c r="F18" s="3" t="s">
        <v>55</v>
      </c>
      <c r="G18" s="8">
        <v>160</v>
      </c>
      <c r="H18" s="8" t="str">
        <f>IF(Product_Dataset[Price ($)]&gt;=500,"High Price","standard Price")</f>
        <v>standard Price</v>
      </c>
      <c r="I18" s="3">
        <v>15</v>
      </c>
      <c r="J18" s="3" t="s">
        <v>9</v>
      </c>
      <c r="K18" s="3"/>
    </row>
    <row r="19" spans="1:11" ht="15.75" customHeight="1" x14ac:dyDescent="0.25">
      <c r="A19" s="4" t="s">
        <v>56</v>
      </c>
      <c r="B19" s="4" t="str">
        <f>LEFT(Product_Dataset[[#This Row],[Product ID]],2)</f>
        <v>27</v>
      </c>
      <c r="C19" s="4" t="str">
        <f>MID(Product_Dataset[[#This Row],[Product ID]],4,3)</f>
        <v>JAN</v>
      </c>
      <c r="D19" s="4" t="str">
        <f>RIGHT(Product_Dataset[[#This Row],[Product ID]],2)</f>
        <v>IT</v>
      </c>
      <c r="E19" s="4" t="s">
        <v>7</v>
      </c>
      <c r="F19" s="4" t="s">
        <v>57</v>
      </c>
      <c r="G19" s="9">
        <v>980</v>
      </c>
      <c r="H19" s="9" t="str">
        <f>IF(Product_Dataset[Price ($)]&gt;=500,"High Price","standard Price")</f>
        <v>High Price</v>
      </c>
      <c r="I19" s="4">
        <v>10</v>
      </c>
      <c r="J19" s="4" t="s">
        <v>9</v>
      </c>
      <c r="K19" s="3"/>
    </row>
    <row r="20" spans="1:11" ht="15.75" customHeight="1" x14ac:dyDescent="0.25">
      <c r="A20" s="3" t="s">
        <v>58</v>
      </c>
      <c r="B20" s="3" t="str">
        <f>LEFT(Product_Dataset[[#This Row],[Product ID]],2)</f>
        <v>01</v>
      </c>
      <c r="C20" s="3" t="str">
        <f>MID(Product_Dataset[[#This Row],[Product ID]],4,3)</f>
        <v>MAR</v>
      </c>
      <c r="D20" s="3" t="str">
        <f>RIGHT(Product_Dataset[[#This Row],[Product ID]],2)</f>
        <v>UK</v>
      </c>
      <c r="E20" s="3" t="s">
        <v>59</v>
      </c>
      <c r="F20" s="3" t="s">
        <v>60</v>
      </c>
      <c r="G20" s="8">
        <v>150</v>
      </c>
      <c r="H20" s="8" t="str">
        <f>IF(Product_Dataset[Price ($)]&gt;=500,"High Price","standard Price")</f>
        <v>standard Price</v>
      </c>
      <c r="I20" s="3">
        <v>15</v>
      </c>
      <c r="J20" s="3" t="s">
        <v>13</v>
      </c>
      <c r="K20" s="3"/>
    </row>
    <row r="21" spans="1:11" ht="15.75" customHeight="1" x14ac:dyDescent="0.25">
      <c r="A21" s="4" t="s">
        <v>61</v>
      </c>
      <c r="B21" s="4" t="str">
        <f>LEFT(Product_Dataset[[#This Row],[Product ID]],2)</f>
        <v>14</v>
      </c>
      <c r="C21" s="4" t="str">
        <f>MID(Product_Dataset[[#This Row],[Product ID]],4,3)</f>
        <v>AUG</v>
      </c>
      <c r="D21" s="4" t="str">
        <f>RIGHT(Product_Dataset[[#This Row],[Product ID]],2)</f>
        <v>US</v>
      </c>
      <c r="E21" s="4" t="s">
        <v>62</v>
      </c>
      <c r="F21" s="4" t="s">
        <v>63</v>
      </c>
      <c r="G21" s="9">
        <v>200</v>
      </c>
      <c r="H21" s="9" t="str">
        <f>IF(Product_Dataset[Price ($)]&gt;=500,"High Price","standard Price")</f>
        <v>standard Price</v>
      </c>
      <c r="I21" s="4">
        <v>10</v>
      </c>
      <c r="J21" s="4" t="s">
        <v>24</v>
      </c>
      <c r="K21" s="3"/>
    </row>
    <row r="22" spans="1:11" ht="15.75" customHeight="1" x14ac:dyDescent="0.25">
      <c r="A22" s="3" t="s">
        <v>64</v>
      </c>
      <c r="B22" s="3" t="str">
        <f>LEFT(Product_Dataset[[#This Row],[Product ID]],2)</f>
        <v>14</v>
      </c>
      <c r="C22" s="3" t="str">
        <f>MID(Product_Dataset[[#This Row],[Product ID]],4,3)</f>
        <v>MAY</v>
      </c>
      <c r="D22" s="3" t="str">
        <f>RIGHT(Product_Dataset[[#This Row],[Product ID]],2)</f>
        <v>RU</v>
      </c>
      <c r="E22" s="3" t="s">
        <v>65</v>
      </c>
      <c r="F22" s="3" t="s">
        <v>66</v>
      </c>
      <c r="G22" s="8">
        <v>700</v>
      </c>
      <c r="H22" s="8" t="str">
        <f>IF(Product_Dataset[Price ($)]&gt;=500,"High Price","standard Price")</f>
        <v>High Price</v>
      </c>
      <c r="I22" s="3">
        <v>50</v>
      </c>
      <c r="J22" s="3" t="s">
        <v>9</v>
      </c>
      <c r="K22" s="3"/>
    </row>
    <row r="23" spans="1:11" ht="15.75" customHeight="1" x14ac:dyDescent="0.25">
      <c r="A23" s="4" t="s">
        <v>67</v>
      </c>
      <c r="B23" s="4" t="str">
        <f>LEFT(Product_Dataset[[#This Row],[Product ID]],2)</f>
        <v>09</v>
      </c>
      <c r="C23" s="4" t="str">
        <f>MID(Product_Dataset[[#This Row],[Product ID]],4,3)</f>
        <v>JAN</v>
      </c>
      <c r="D23" s="4" t="str">
        <f>RIGHT(Product_Dataset[[#This Row],[Product ID]],2)</f>
        <v>CA</v>
      </c>
      <c r="E23" s="4" t="s">
        <v>68</v>
      </c>
      <c r="F23" s="4" t="s">
        <v>69</v>
      </c>
      <c r="G23" s="9">
        <v>80</v>
      </c>
      <c r="H23" s="9" t="str">
        <f>IF(Product_Dataset[Price ($)]&gt;=500,"High Price","standard Price")</f>
        <v>standard Price</v>
      </c>
      <c r="I23" s="4">
        <v>20</v>
      </c>
      <c r="J23" s="4" t="s">
        <v>17</v>
      </c>
      <c r="K23" s="3"/>
    </row>
    <row r="24" spans="1:11" ht="15.75" customHeight="1" x14ac:dyDescent="0.25">
      <c r="A24" s="3" t="s">
        <v>70</v>
      </c>
      <c r="B24" s="3" t="str">
        <f>LEFT(Product_Dataset[[#This Row],[Product ID]],2)</f>
        <v>19</v>
      </c>
      <c r="C24" s="3" t="str">
        <f>MID(Product_Dataset[[#This Row],[Product ID]],4,3)</f>
        <v>JUL</v>
      </c>
      <c r="D24" s="3" t="str">
        <f>RIGHT(Product_Dataset[[#This Row],[Product ID]],2)</f>
        <v>BR</v>
      </c>
      <c r="E24" s="3" t="s">
        <v>71</v>
      </c>
      <c r="F24" s="3" t="s">
        <v>72</v>
      </c>
      <c r="G24" s="8">
        <v>150</v>
      </c>
      <c r="H24" s="8" t="str">
        <f>IF(Product_Dataset[Price ($)]&gt;=500,"High Price","standard Price")</f>
        <v>standard Price</v>
      </c>
      <c r="I24" s="3">
        <v>30</v>
      </c>
      <c r="J24" s="3" t="s">
        <v>9</v>
      </c>
      <c r="K24" s="3"/>
    </row>
    <row r="25" spans="1:11" ht="15.75" customHeight="1" x14ac:dyDescent="0.25">
      <c r="A25" s="4" t="s">
        <v>50</v>
      </c>
      <c r="B25" s="4" t="str">
        <f>LEFT(Product_Dataset[[#This Row],[Product ID]],2)</f>
        <v>21</v>
      </c>
      <c r="C25" s="4" t="str">
        <f>MID(Product_Dataset[[#This Row],[Product ID]],4,3)</f>
        <v>AUG</v>
      </c>
      <c r="D25" s="4" t="str">
        <f>RIGHT(Product_Dataset[[#This Row],[Product ID]],2)</f>
        <v>CA</v>
      </c>
      <c r="E25" s="4" t="s">
        <v>51</v>
      </c>
      <c r="F25" s="4" t="s">
        <v>52</v>
      </c>
      <c r="G25" s="9">
        <v>50</v>
      </c>
      <c r="H25" s="9" t="str">
        <f>IF(Product_Dataset[Price ($)]&gt;=500,"High Price","standard Price")</f>
        <v>standard Price</v>
      </c>
      <c r="I25" s="4">
        <v>35</v>
      </c>
      <c r="J25" s="4" t="s">
        <v>53</v>
      </c>
      <c r="K25" s="5"/>
    </row>
    <row r="26" spans="1:11" ht="15.75" customHeight="1" x14ac:dyDescent="0.25">
      <c r="A26" s="3" t="s">
        <v>73</v>
      </c>
      <c r="B26" s="3" t="str">
        <f>LEFT(Product_Dataset[[#This Row],[Product ID]],2)</f>
        <v>29</v>
      </c>
      <c r="C26" s="3" t="str">
        <f>MID(Product_Dataset[[#This Row],[Product ID]],4,3)</f>
        <v>SEP</v>
      </c>
      <c r="D26" s="3" t="str">
        <f>RIGHT(Product_Dataset[[#This Row],[Product ID]],2)</f>
        <v>CA</v>
      </c>
      <c r="E26" s="3" t="s">
        <v>19</v>
      </c>
      <c r="F26" s="3" t="s">
        <v>74</v>
      </c>
      <c r="G26" s="8">
        <v>800</v>
      </c>
      <c r="H26" s="8" t="str">
        <f>IF(Product_Dataset[Price ($)]&gt;=500,"High Price","standard Price")</f>
        <v>High Price</v>
      </c>
      <c r="I26" s="3">
        <v>45</v>
      </c>
      <c r="J26" s="3" t="s">
        <v>9</v>
      </c>
      <c r="K26" s="3"/>
    </row>
    <row r="27" spans="1:11" ht="15.75" customHeight="1" x14ac:dyDescent="0.25">
      <c r="A27" s="4" t="s">
        <v>75</v>
      </c>
      <c r="B27" s="4" t="str">
        <f>LEFT(Product_Dataset[[#This Row],[Product ID]],2)</f>
        <v>03</v>
      </c>
      <c r="C27" s="4" t="str">
        <f>MID(Product_Dataset[[#This Row],[Product ID]],4,3)</f>
        <v>JUN</v>
      </c>
      <c r="D27" s="4" t="str">
        <f>RIGHT(Product_Dataset[[#This Row],[Product ID]],2)</f>
        <v>CA</v>
      </c>
      <c r="E27" s="4" t="s">
        <v>59</v>
      </c>
      <c r="F27" s="4" t="s">
        <v>76</v>
      </c>
      <c r="G27" s="9">
        <v>130</v>
      </c>
      <c r="H27" s="9" t="str">
        <f>IF(Product_Dataset[Price ($)]&gt;=500,"High Price","standard Price")</f>
        <v>standard Price</v>
      </c>
      <c r="I27" s="4">
        <v>25</v>
      </c>
      <c r="J27" s="4" t="s">
        <v>13</v>
      </c>
      <c r="K27" s="3"/>
    </row>
    <row r="28" spans="1:11" ht="15.75" customHeight="1" x14ac:dyDescent="0.25">
      <c r="A28" s="3" t="s">
        <v>77</v>
      </c>
      <c r="B28" s="3" t="str">
        <f>LEFT(Product_Dataset[[#This Row],[Product ID]],2)</f>
        <v>11</v>
      </c>
      <c r="C28" s="3" t="str">
        <f>MID(Product_Dataset[[#This Row],[Product ID]],4,3)</f>
        <v>JUL</v>
      </c>
      <c r="D28" s="3" t="str">
        <f>RIGHT(Product_Dataset[[#This Row],[Product ID]],2)</f>
        <v>CA</v>
      </c>
      <c r="E28" s="3" t="s">
        <v>32</v>
      </c>
      <c r="F28" s="3" t="s">
        <v>78</v>
      </c>
      <c r="G28" s="8">
        <v>400</v>
      </c>
      <c r="H28" s="8" t="str">
        <f>IF(Product_Dataset[Price ($)]&gt;=500,"High Price","standard Price")</f>
        <v>standard Price</v>
      </c>
      <c r="I28" s="3">
        <v>40</v>
      </c>
      <c r="J28" s="3" t="s">
        <v>17</v>
      </c>
      <c r="K28" s="3"/>
    </row>
    <row r="29" spans="1:11" ht="15.75" customHeight="1" x14ac:dyDescent="0.25">
      <c r="A29" s="4" t="s">
        <v>48</v>
      </c>
      <c r="B29" s="4" t="str">
        <f>LEFT(Product_Dataset[[#This Row],[Product ID]],2)</f>
        <v>16</v>
      </c>
      <c r="C29" s="4" t="str">
        <f>MID(Product_Dataset[[#This Row],[Product ID]],4,3)</f>
        <v>APR</v>
      </c>
      <c r="D29" s="4" t="str">
        <f>RIGHT(Product_Dataset[[#This Row],[Product ID]],2)</f>
        <v>ES</v>
      </c>
      <c r="E29" s="4" t="s">
        <v>26</v>
      </c>
      <c r="F29" s="4" t="s">
        <v>49</v>
      </c>
      <c r="G29" s="9">
        <v>230</v>
      </c>
      <c r="H29" s="9" t="str">
        <f>IF(Product_Dataset[Price ($)]&gt;=500,"High Price","standard Price")</f>
        <v>standard Price</v>
      </c>
      <c r="I29" s="4">
        <v>20</v>
      </c>
      <c r="J29" s="4" t="s">
        <v>9</v>
      </c>
      <c r="K29" s="5"/>
    </row>
    <row r="30" spans="1:11" ht="15.75" customHeight="1" x14ac:dyDescent="0.25">
      <c r="A30" s="3" t="s">
        <v>79</v>
      </c>
      <c r="B30" s="3" t="str">
        <f>LEFT(Product_Dataset[[#This Row],[Product ID]],2)</f>
        <v>07</v>
      </c>
      <c r="C30" s="3" t="str">
        <f>MID(Product_Dataset[[#This Row],[Product ID]],4,3)</f>
        <v>MAR</v>
      </c>
      <c r="D30" s="3" t="str">
        <f>RIGHT(Product_Dataset[[#This Row],[Product ID]],2)</f>
        <v>CA</v>
      </c>
      <c r="E30" s="3" t="s">
        <v>80</v>
      </c>
      <c r="F30" s="3" t="s">
        <v>81</v>
      </c>
      <c r="G30" s="8">
        <v>60</v>
      </c>
      <c r="H30" s="8" t="str">
        <f>IF(Product_Dataset[Price ($)]&gt;=500,"High Price","standard Price")</f>
        <v>standard Price</v>
      </c>
      <c r="I30" s="3">
        <v>30</v>
      </c>
      <c r="J30" s="3" t="s">
        <v>13</v>
      </c>
      <c r="K30" s="3"/>
    </row>
    <row r="31" spans="1:11" ht="15.75" customHeight="1" x14ac:dyDescent="0.25">
      <c r="A31" s="4" t="s">
        <v>82</v>
      </c>
      <c r="B31" s="4" t="str">
        <f>LEFT(Product_Dataset[[#This Row],[Product ID]],2)</f>
        <v>13</v>
      </c>
      <c r="C31" s="4" t="str">
        <f>MID(Product_Dataset[[#This Row],[Product ID]],4,3)</f>
        <v>APR</v>
      </c>
      <c r="D31" s="4" t="str">
        <f>RIGHT(Product_Dataset[[#This Row],[Product ID]],2)</f>
        <v>CA</v>
      </c>
      <c r="E31" s="4" t="s">
        <v>83</v>
      </c>
      <c r="F31" s="4" t="s">
        <v>84</v>
      </c>
      <c r="G31" s="9">
        <v>40</v>
      </c>
      <c r="H31" s="9" t="str">
        <f>IF(Product_Dataset[Price ($)]&gt;=500,"High Price","standard Price")</f>
        <v>standard Price</v>
      </c>
      <c r="I31" s="4">
        <v>10</v>
      </c>
      <c r="J31" s="4" t="s">
        <v>17</v>
      </c>
      <c r="K31" s="3"/>
    </row>
    <row r="32" spans="1:11" ht="15.75" customHeight="1" x14ac:dyDescent="0.25">
      <c r="A32" s="3" t="s">
        <v>85</v>
      </c>
      <c r="B32" s="3" t="str">
        <f>LEFT(Product_Dataset[[#This Row],[Product ID]],2)</f>
        <v>24</v>
      </c>
      <c r="C32" s="3" t="str">
        <f>MID(Product_Dataset[[#This Row],[Product ID]],4,3)</f>
        <v>MAY</v>
      </c>
      <c r="D32" s="3" t="str">
        <f>RIGHT(Product_Dataset[[#This Row],[Product ID]],2)</f>
        <v>CA</v>
      </c>
      <c r="E32" s="3" t="s">
        <v>71</v>
      </c>
      <c r="F32" s="3" t="s">
        <v>86</v>
      </c>
      <c r="G32" s="8">
        <v>130</v>
      </c>
      <c r="H32" s="8" t="str">
        <f>IF(Product_Dataset[Price ($)]&gt;=500,"High Price","standard Price")</f>
        <v>standard Price</v>
      </c>
      <c r="I32" s="3">
        <v>5</v>
      </c>
      <c r="J32" s="3" t="s">
        <v>9</v>
      </c>
      <c r="K32" s="3"/>
    </row>
    <row r="33" spans="1:13" ht="15.75" customHeight="1" x14ac:dyDescent="0.25">
      <c r="A33" s="4" t="s">
        <v>87</v>
      </c>
      <c r="B33" s="4" t="str">
        <f>LEFT(Product_Dataset[[#This Row],[Product ID]],2)</f>
        <v>02</v>
      </c>
      <c r="C33" s="4" t="str">
        <f>MID(Product_Dataset[[#This Row],[Product ID]],4,3)</f>
        <v>DEC</v>
      </c>
      <c r="D33" s="4" t="str">
        <f>RIGHT(Product_Dataset[[#This Row],[Product ID]],2)</f>
        <v>CA</v>
      </c>
      <c r="E33" s="4" t="s">
        <v>88</v>
      </c>
      <c r="F33" s="4" t="s">
        <v>89</v>
      </c>
      <c r="G33" s="9">
        <v>50</v>
      </c>
      <c r="H33" s="9" t="str">
        <f>IF(Product_Dataset[Price ($)]&gt;=500,"High Price","standard Price")</f>
        <v>standard Price</v>
      </c>
      <c r="I33" s="4">
        <v>50</v>
      </c>
      <c r="J33" s="4" t="s">
        <v>13</v>
      </c>
      <c r="K33" s="3"/>
    </row>
    <row r="34" spans="1:13" ht="15.75" customHeight="1" x14ac:dyDescent="0.25">
      <c r="A34" s="3" t="s">
        <v>40</v>
      </c>
      <c r="B34" s="3" t="str">
        <f>LEFT(Product_Dataset[[#This Row],[Product ID]],2)</f>
        <v>17</v>
      </c>
      <c r="C34" s="3" t="str">
        <f>MID(Product_Dataset[[#This Row],[Product ID]],4,3)</f>
        <v>JUN</v>
      </c>
      <c r="D34" s="3" t="str">
        <f>RIGHT(Product_Dataset[[#This Row],[Product ID]],2)</f>
        <v>IN</v>
      </c>
      <c r="E34" s="3" t="s">
        <v>7</v>
      </c>
      <c r="F34" s="3" t="s">
        <v>41</v>
      </c>
      <c r="G34" s="8">
        <v>950</v>
      </c>
      <c r="H34" s="8" t="str">
        <f>IF(Product_Dataset[Price ($)]&gt;=500,"High Price","standard Price")</f>
        <v>High Price</v>
      </c>
      <c r="I34" s="3">
        <v>25</v>
      </c>
      <c r="J34" s="3" t="s">
        <v>9</v>
      </c>
      <c r="K34" s="3"/>
    </row>
    <row r="35" spans="1:13" ht="15.75" customHeight="1" x14ac:dyDescent="0.25">
      <c r="A35" s="4" t="s">
        <v>90</v>
      </c>
      <c r="B35" s="4" t="str">
        <f>LEFT(Product_Dataset[[#This Row],[Product ID]],2)</f>
        <v>09</v>
      </c>
      <c r="C35" s="4" t="str">
        <f>MID(Product_Dataset[[#This Row],[Product ID]],4,3)</f>
        <v>JUL</v>
      </c>
      <c r="D35" s="4" t="str">
        <f>RIGHT(Product_Dataset[[#This Row],[Product ID]],2)</f>
        <v>FR</v>
      </c>
      <c r="E35" s="4" t="s">
        <v>91</v>
      </c>
      <c r="F35" s="4" t="s">
        <v>92</v>
      </c>
      <c r="G35" s="9">
        <v>100</v>
      </c>
      <c r="H35" s="9" t="str">
        <f>IF(Product_Dataset[Price ($)]&gt;=500,"High Price","standard Price")</f>
        <v>standard Price</v>
      </c>
      <c r="I35" s="4">
        <v>20</v>
      </c>
      <c r="J35" s="4" t="s">
        <v>53</v>
      </c>
      <c r="K35" s="3"/>
    </row>
    <row r="36" spans="1:13" ht="15.75" customHeight="1" x14ac:dyDescent="0.25"/>
    <row r="37" spans="1:13" ht="26.5" customHeight="1" x14ac:dyDescent="0.65">
      <c r="A37" s="14" t="s">
        <v>93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ht="15.75" customHeight="1" x14ac:dyDescent="0.25"/>
    <row r="39" spans="1:13" s="26" customFormat="1" ht="15.75" customHeight="1" x14ac:dyDescent="0.3">
      <c r="A39" s="26" t="s">
        <v>94</v>
      </c>
    </row>
    <row r="40" spans="1:13" s="30" customFormat="1" ht="15.75" customHeight="1" x14ac:dyDescent="0.25">
      <c r="A40" s="27" t="s">
        <v>95</v>
      </c>
      <c r="B40" s="27"/>
      <c r="C40" s="27"/>
      <c r="D40" s="27"/>
      <c r="E40" s="28"/>
      <c r="F40" s="28"/>
      <c r="G40" s="29"/>
      <c r="H40" s="29"/>
    </row>
    <row r="41" spans="1:13" s="30" customFormat="1" ht="15.75" customHeight="1" x14ac:dyDescent="0.25">
      <c r="A41" s="27" t="s">
        <v>96</v>
      </c>
      <c r="B41" s="27"/>
      <c r="C41" s="27"/>
      <c r="D41" s="27"/>
      <c r="E41" s="19">
        <f>SUM(Product_Dataset[Price ($)])</f>
        <v>10100</v>
      </c>
      <c r="G41" s="29"/>
      <c r="H41" s="29"/>
    </row>
    <row r="42" spans="1:13" s="30" customFormat="1" ht="15.75" customHeight="1" x14ac:dyDescent="0.25">
      <c r="A42" s="27" t="s">
        <v>97</v>
      </c>
      <c r="B42" s="27"/>
      <c r="C42" s="27"/>
      <c r="D42" s="27"/>
      <c r="E42" s="19">
        <f>COUNTA(Product_Dataset[Product ID])</f>
        <v>34</v>
      </c>
      <c r="G42" s="29"/>
      <c r="H42" s="29"/>
    </row>
    <row r="43" spans="1:13" s="30" customFormat="1" ht="15.75" customHeight="1" x14ac:dyDescent="0.25">
      <c r="A43" s="27" t="s">
        <v>98</v>
      </c>
      <c r="B43" s="27"/>
      <c r="C43" s="27"/>
      <c r="D43" s="27"/>
      <c r="E43" s="19">
        <f>AVERAGE(Product_Dataset[Price ($)])</f>
        <v>297.05882352941177</v>
      </c>
      <c r="F43" s="30">
        <f>ROUND(E43, 2)</f>
        <v>297.06</v>
      </c>
      <c r="G43" s="29"/>
      <c r="H43" s="29"/>
    </row>
    <row r="44" spans="1:13" s="27" customFormat="1" ht="15.75" customHeight="1" x14ac:dyDescent="0.25"/>
    <row r="45" spans="1:13" s="26" customFormat="1" ht="15.75" customHeight="1" x14ac:dyDescent="0.3">
      <c r="A45" s="26" t="s">
        <v>139</v>
      </c>
    </row>
    <row r="46" spans="1:13" s="30" customFormat="1" ht="15.75" customHeight="1" x14ac:dyDescent="0.25">
      <c r="A46" s="31" t="s">
        <v>100</v>
      </c>
      <c r="B46" s="31"/>
      <c r="C46" s="31"/>
      <c r="D46" s="31"/>
      <c r="E46" s="19">
        <f>MIN(Product_Dataset[Price ($)])</f>
        <v>30</v>
      </c>
      <c r="G46" s="29"/>
      <c r="H46" s="29"/>
    </row>
    <row r="47" spans="1:13" s="30" customFormat="1" ht="15.75" customHeight="1" x14ac:dyDescent="0.25">
      <c r="A47" s="31" t="s">
        <v>99</v>
      </c>
      <c r="B47" s="31"/>
      <c r="C47" s="31"/>
      <c r="D47" s="31"/>
      <c r="E47" s="19">
        <f>MAX(Product_Dataset[Price ($)])</f>
        <v>1000</v>
      </c>
      <c r="G47" s="29"/>
      <c r="H47" s="29"/>
    </row>
    <row r="48" spans="1:13" s="27" customFormat="1" ht="15.75" customHeight="1" x14ac:dyDescent="0.25"/>
    <row r="49" spans="1:8" s="26" customFormat="1" ht="15.75" customHeight="1" x14ac:dyDescent="0.3">
      <c r="A49" s="26" t="s">
        <v>101</v>
      </c>
    </row>
    <row r="50" spans="1:8" s="30" customFormat="1" ht="15.75" customHeight="1" x14ac:dyDescent="0.25">
      <c r="A50" s="30" t="s">
        <v>102</v>
      </c>
      <c r="G50" s="29"/>
      <c r="H50" s="29"/>
    </row>
    <row r="51" spans="1:8" s="30" customFormat="1" ht="15.75" customHeight="1" x14ac:dyDescent="0.25">
      <c r="A51" s="30" t="s">
        <v>103</v>
      </c>
      <c r="G51" s="29"/>
      <c r="H51" s="29"/>
    </row>
    <row r="52" spans="1:8" s="30" customFormat="1" ht="15.75" customHeight="1" x14ac:dyDescent="0.25">
      <c r="A52" s="30" t="s">
        <v>104</v>
      </c>
      <c r="G52" s="29"/>
      <c r="H52" s="29"/>
    </row>
    <row r="53" spans="1:8" s="30" customFormat="1" ht="15.75" customHeight="1" x14ac:dyDescent="0.25">
      <c r="A53" s="30" t="s">
        <v>105</v>
      </c>
      <c r="G53" s="29"/>
      <c r="H53" s="29"/>
    </row>
    <row r="54" spans="1:8" s="30" customFormat="1" ht="15.75" customHeight="1" x14ac:dyDescent="0.25">
      <c r="G54" s="29"/>
      <c r="H54" s="29"/>
    </row>
    <row r="55" spans="1:8" s="26" customFormat="1" ht="15.75" customHeight="1" x14ac:dyDescent="0.3">
      <c r="A55" s="26" t="s">
        <v>107</v>
      </c>
    </row>
    <row r="56" spans="1:8" s="30" customFormat="1" ht="15.75" customHeight="1" x14ac:dyDescent="0.25">
      <c r="A56" s="30" t="s">
        <v>108</v>
      </c>
      <c r="G56" s="29"/>
      <c r="H56" s="29"/>
    </row>
    <row r="57" spans="1:8" s="30" customFormat="1" ht="15.75" customHeight="1" x14ac:dyDescent="0.25">
      <c r="A57" s="28" t="s">
        <v>109</v>
      </c>
      <c r="E57" s="19">
        <f>SUMIF(Product_Dataset[Category],"Electronics",Product_Dataset[Price ($)])</f>
        <v>8050</v>
      </c>
      <c r="G57" s="29"/>
      <c r="H57" s="29"/>
    </row>
    <row r="58" spans="1:8" s="30" customFormat="1" ht="15.75" customHeight="1" x14ac:dyDescent="0.25">
      <c r="A58" s="30" t="s">
        <v>110</v>
      </c>
      <c r="G58" s="29"/>
      <c r="H58" s="29"/>
    </row>
    <row r="59" spans="1:8" s="30" customFormat="1" ht="15.75" customHeight="1" x14ac:dyDescent="0.25">
      <c r="A59" s="28" t="s">
        <v>111</v>
      </c>
      <c r="E59" s="32">
        <f>COUNTIF(Product_Dataset[Price ($)],"&lt;100")</f>
        <v>11</v>
      </c>
      <c r="G59" s="29"/>
      <c r="H59" s="29"/>
    </row>
    <row r="60" spans="1:8" s="30" customFormat="1" ht="15.75" customHeight="1" x14ac:dyDescent="0.25">
      <c r="A60" s="28" t="s">
        <v>112</v>
      </c>
      <c r="G60" s="29"/>
      <c r="H60" s="29"/>
    </row>
    <row r="61" spans="1:8" s="30" customFormat="1" ht="15.75" customHeight="1" x14ac:dyDescent="0.25">
      <c r="G61" s="29"/>
      <c r="H61" s="29"/>
    </row>
    <row r="62" spans="1:8" s="26" customFormat="1" ht="15.75" customHeight="1" x14ac:dyDescent="0.3">
      <c r="A62" s="26" t="s">
        <v>113</v>
      </c>
    </row>
    <row r="63" spans="1:8" s="30" customFormat="1" ht="15.75" customHeight="1" x14ac:dyDescent="0.25">
      <c r="A63" s="30" t="s">
        <v>114</v>
      </c>
      <c r="G63" s="29"/>
      <c r="H63" s="29"/>
    </row>
    <row r="64" spans="1:8" s="30" customFormat="1" ht="15.75" customHeight="1" x14ac:dyDescent="0.25">
      <c r="A64" s="30" t="s">
        <v>115</v>
      </c>
      <c r="G64" s="29"/>
      <c r="H64" s="29"/>
    </row>
    <row r="65" spans="1:8" s="30" customFormat="1" ht="15.75" customHeight="1" x14ac:dyDescent="0.25">
      <c r="A65" s="30" t="s">
        <v>116</v>
      </c>
      <c r="G65" s="29"/>
      <c r="H65" s="29"/>
    </row>
    <row r="66" spans="1:8" s="30" customFormat="1" ht="15.75" customHeight="1" x14ac:dyDescent="0.25">
      <c r="A66" s="30" t="s">
        <v>117</v>
      </c>
      <c r="G66" s="29"/>
      <c r="H66" s="29"/>
    </row>
    <row r="67" spans="1:8" s="30" customFormat="1" ht="15.75" customHeight="1" x14ac:dyDescent="0.25">
      <c r="A67" s="30" t="s">
        <v>118</v>
      </c>
      <c r="G67" s="29"/>
      <c r="H67" s="29"/>
    </row>
    <row r="68" spans="1:8" s="30" customFormat="1" ht="15.75" customHeight="1" x14ac:dyDescent="0.25">
      <c r="A68" s="30" t="s">
        <v>119</v>
      </c>
      <c r="G68" s="29"/>
      <c r="H68" s="29"/>
    </row>
    <row r="69" spans="1:8" s="30" customFormat="1" ht="15.75" customHeight="1" x14ac:dyDescent="0.25">
      <c r="A69" s="30" t="s">
        <v>120</v>
      </c>
      <c r="G69" s="29"/>
      <c r="H69" s="29"/>
    </row>
    <row r="70" spans="1:8" s="30" customFormat="1" ht="15.75" customHeight="1" x14ac:dyDescent="0.25">
      <c r="A70" s="30" t="s">
        <v>121</v>
      </c>
      <c r="G70" s="29"/>
      <c r="H70" s="29"/>
    </row>
    <row r="71" spans="1:8" ht="15.75" customHeight="1" x14ac:dyDescent="0.25"/>
    <row r="72" spans="1:8" ht="15.75" customHeight="1" x14ac:dyDescent="0.25"/>
    <row r="73" spans="1:8" ht="15.75" customHeight="1" x14ac:dyDescent="0.25"/>
    <row r="74" spans="1:8" ht="15.75" customHeight="1" x14ac:dyDescent="0.25"/>
    <row r="75" spans="1:8" ht="15.75" customHeight="1" x14ac:dyDescent="0.25"/>
    <row r="76" spans="1:8" ht="15.75" customHeight="1" x14ac:dyDescent="0.25"/>
    <row r="77" spans="1:8" ht="15.75" customHeight="1" x14ac:dyDescent="0.25"/>
    <row r="78" spans="1:8" ht="15.75" customHeight="1" x14ac:dyDescent="0.25"/>
    <row r="79" spans="1:8" ht="15.75" customHeight="1" x14ac:dyDescent="0.25"/>
    <row r="80" spans="1:8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46:D46"/>
    <mergeCell ref="A47:D47"/>
    <mergeCell ref="A44:XFD44"/>
    <mergeCell ref="A48:XFD48"/>
    <mergeCell ref="A37:M37"/>
    <mergeCell ref="A39:XFD39"/>
    <mergeCell ref="A45:XFD45"/>
    <mergeCell ref="A49:XFD49"/>
    <mergeCell ref="A55:XFD55"/>
    <mergeCell ref="A62:XFD62"/>
    <mergeCell ref="A40:D40"/>
    <mergeCell ref="A41:D41"/>
    <mergeCell ref="A42:D42"/>
    <mergeCell ref="A43:D4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B36D-DABF-4F91-8CAE-340D2FE56AD8}">
  <sheetPr>
    <tabColor rgb="FF92D050"/>
  </sheetPr>
  <dimension ref="A1:J52"/>
  <sheetViews>
    <sheetView zoomScale="66" zoomScaleNormal="66" workbookViewId="0">
      <selection activeCell="A41" sqref="A41"/>
    </sheetView>
  </sheetViews>
  <sheetFormatPr defaultRowHeight="12.5" x14ac:dyDescent="0.25"/>
  <cols>
    <col min="1" max="1" width="40.36328125" style="10" customWidth="1"/>
    <col min="2" max="2" width="11.54296875" style="10" customWidth="1"/>
    <col min="3" max="3" width="10" style="10" customWidth="1"/>
    <col min="4" max="4" width="16.1796875" customWidth="1"/>
    <col min="5" max="5" width="19.54296875" style="10" customWidth="1"/>
    <col min="6" max="6" width="14.81640625" style="10" customWidth="1"/>
    <col min="7" max="7" width="13.90625" customWidth="1"/>
    <col min="8" max="8" width="16.36328125" customWidth="1"/>
    <col min="9" max="9" width="12.90625" style="10" customWidth="1"/>
    <col min="10" max="10" width="13.36328125" style="10" customWidth="1"/>
  </cols>
  <sheetData>
    <row r="1" spans="1:10" ht="13" x14ac:dyDescent="0.3">
      <c r="A1" s="7" t="s">
        <v>0</v>
      </c>
      <c r="B1" s="12" t="s">
        <v>122</v>
      </c>
      <c r="C1" s="12" t="s">
        <v>124</v>
      </c>
      <c r="D1" s="13" t="s">
        <v>123</v>
      </c>
      <c r="E1" s="7" t="s">
        <v>1</v>
      </c>
      <c r="F1" s="7" t="s">
        <v>2</v>
      </c>
      <c r="G1" s="7" t="s">
        <v>3</v>
      </c>
      <c r="H1" s="12" t="s">
        <v>106</v>
      </c>
      <c r="I1" s="7" t="s">
        <v>4</v>
      </c>
      <c r="J1" s="7" t="s">
        <v>5</v>
      </c>
    </row>
    <row r="2" spans="1:10" x14ac:dyDescent="0.25">
      <c r="A2" s="8" t="s">
        <v>6</v>
      </c>
      <c r="B2" s="8" t="str">
        <f>LEFT(Product_Dataset3[[#This Row],[Product ID]],2)</f>
        <v>28</v>
      </c>
      <c r="C2" s="8" t="str">
        <f>MID(Product_Dataset3[[#This Row],[Product ID]],4,3)</f>
        <v>JAN</v>
      </c>
      <c r="D2" s="3" t="str">
        <f>RIGHT(Product_Dataset3[[#This Row],[Product ID]],2)</f>
        <v>US</v>
      </c>
      <c r="E2" s="8" t="s">
        <v>7</v>
      </c>
      <c r="F2" s="8" t="s">
        <v>8</v>
      </c>
      <c r="G2" s="8">
        <v>1000</v>
      </c>
      <c r="H2" s="8" t="str">
        <f>IF(Product_Dataset3[Price ($)]&gt;=500,"High Price","standard Price")</f>
        <v>High Price</v>
      </c>
      <c r="I2" s="8">
        <v>30</v>
      </c>
      <c r="J2" s="8" t="s">
        <v>9</v>
      </c>
    </row>
    <row r="3" spans="1:10" x14ac:dyDescent="0.25">
      <c r="A3" s="9" t="s">
        <v>10</v>
      </c>
      <c r="B3" s="9" t="str">
        <f>LEFT(Product_Dataset3[[#This Row],[Product ID]],2)</f>
        <v>15</v>
      </c>
      <c r="C3" s="9" t="str">
        <f>MID(Product_Dataset3[[#This Row],[Product ID]],4,3)</f>
        <v>FEB</v>
      </c>
      <c r="D3" s="4" t="str">
        <f>RIGHT(Product_Dataset3[[#This Row],[Product ID]],2)</f>
        <v>US</v>
      </c>
      <c r="E3" s="9" t="s">
        <v>11</v>
      </c>
      <c r="F3" s="9" t="s">
        <v>12</v>
      </c>
      <c r="G3" s="9">
        <v>80</v>
      </c>
      <c r="H3" s="9" t="str">
        <f>IF(Product_Dataset3[Price ($)]&gt;=500,"High Price","standard Price")</f>
        <v>standard Price</v>
      </c>
      <c r="I3" s="9">
        <v>15</v>
      </c>
      <c r="J3" s="9" t="s">
        <v>13</v>
      </c>
    </row>
    <row r="4" spans="1:10" x14ac:dyDescent="0.25">
      <c r="A4" s="8" t="s">
        <v>14</v>
      </c>
      <c r="B4" s="8" t="str">
        <f>LEFT(Product_Dataset3[[#This Row],[Product ID]],2)</f>
        <v>03</v>
      </c>
      <c r="C4" s="8" t="str">
        <f>MID(Product_Dataset3[[#This Row],[Product ID]],4,3)</f>
        <v>MAR</v>
      </c>
      <c r="D4" s="3" t="str">
        <f>RIGHT(Product_Dataset3[[#This Row],[Product ID]],2)</f>
        <v>US</v>
      </c>
      <c r="E4" s="8" t="s">
        <v>15</v>
      </c>
      <c r="F4" s="8" t="s">
        <v>16</v>
      </c>
      <c r="G4" s="8">
        <v>130</v>
      </c>
      <c r="H4" s="8" t="str">
        <f>IF(Product_Dataset3[Price ($)]&gt;=500,"High Price","standard Price")</f>
        <v>standard Price</v>
      </c>
      <c r="I4" s="8">
        <v>40</v>
      </c>
      <c r="J4" s="8" t="s">
        <v>17</v>
      </c>
    </row>
    <row r="5" spans="1:10" x14ac:dyDescent="0.25">
      <c r="A5" s="9" t="s">
        <v>18</v>
      </c>
      <c r="B5" s="9" t="str">
        <f>LEFT(Product_Dataset3[[#This Row],[Product ID]],2)</f>
        <v>11</v>
      </c>
      <c r="C5" s="9" t="str">
        <f>MID(Product_Dataset3[[#This Row],[Product ID]],4,3)</f>
        <v>APR</v>
      </c>
      <c r="D5" s="4" t="str">
        <f>RIGHT(Product_Dataset3[[#This Row],[Product ID]],2)</f>
        <v>US</v>
      </c>
      <c r="E5" s="9" t="s">
        <v>19</v>
      </c>
      <c r="F5" s="9" t="s">
        <v>20</v>
      </c>
      <c r="G5" s="9">
        <v>900</v>
      </c>
      <c r="H5" s="9" t="str">
        <f>IF(Product_Dataset3[Price ($)]&gt;=500,"High Price","standard Price")</f>
        <v>High Price</v>
      </c>
      <c r="I5" s="9">
        <v>25</v>
      </c>
      <c r="J5" s="9" t="s">
        <v>9</v>
      </c>
    </row>
    <row r="6" spans="1:10" x14ac:dyDescent="0.25">
      <c r="A6" s="8" t="s">
        <v>21</v>
      </c>
      <c r="B6" s="8" t="str">
        <f>LEFT(Product_Dataset3[[#This Row],[Product ID]],2)</f>
        <v>22</v>
      </c>
      <c r="C6" s="8" t="str">
        <f>MID(Product_Dataset3[[#This Row],[Product ID]],4,3)</f>
        <v>MAY</v>
      </c>
      <c r="D6" s="3" t="str">
        <f>RIGHT(Product_Dataset3[[#This Row],[Product ID]],2)</f>
        <v>US</v>
      </c>
      <c r="E6" s="8" t="s">
        <v>22</v>
      </c>
      <c r="F6" s="8" t="s">
        <v>23</v>
      </c>
      <c r="G6" s="8">
        <v>70</v>
      </c>
      <c r="H6" s="8" t="str">
        <f>IF(Product_Dataset3[Price ($)]&gt;=500,"High Price","standard Price")</f>
        <v>standard Price</v>
      </c>
      <c r="I6" s="8">
        <v>20</v>
      </c>
      <c r="J6" s="8" t="s">
        <v>24</v>
      </c>
    </row>
    <row r="7" spans="1:10" x14ac:dyDescent="0.25">
      <c r="A7" s="9" t="s">
        <v>25</v>
      </c>
      <c r="B7" s="9" t="str">
        <f>LEFT(Product_Dataset3[[#This Row],[Product ID]],2)</f>
        <v>07</v>
      </c>
      <c r="C7" s="9" t="str">
        <f>MID(Product_Dataset3[[#This Row],[Product ID]],4,3)</f>
        <v>JUN</v>
      </c>
      <c r="D7" s="4" t="str">
        <f>RIGHT(Product_Dataset3[[#This Row],[Product ID]],2)</f>
        <v>UK</v>
      </c>
      <c r="E7" s="9" t="s">
        <v>26</v>
      </c>
      <c r="F7" s="9" t="s">
        <v>27</v>
      </c>
      <c r="G7" s="9">
        <v>200</v>
      </c>
      <c r="H7" s="9" t="str">
        <f>IF(Product_Dataset3[Price ($)]&gt;=500,"High Price","standard Price")</f>
        <v>standard Price</v>
      </c>
      <c r="I7" s="9">
        <v>45</v>
      </c>
      <c r="J7" s="9" t="s">
        <v>9</v>
      </c>
    </row>
    <row r="8" spans="1:10" x14ac:dyDescent="0.25">
      <c r="A8" s="8" t="s">
        <v>28</v>
      </c>
      <c r="B8" s="8" t="str">
        <f>LEFT(Product_Dataset3[[#This Row],[Product ID]],2)</f>
        <v>19</v>
      </c>
      <c r="C8" s="8" t="str">
        <f>MID(Product_Dataset3[[#This Row],[Product ID]],4,3)</f>
        <v>JUL</v>
      </c>
      <c r="D8" s="3" t="str">
        <f>RIGHT(Product_Dataset3[[#This Row],[Product ID]],2)</f>
        <v>UK</v>
      </c>
      <c r="E8" s="8" t="s">
        <v>29</v>
      </c>
      <c r="F8" s="8" t="s">
        <v>30</v>
      </c>
      <c r="G8" s="8">
        <v>30</v>
      </c>
      <c r="H8" s="8" t="str">
        <f>IF(Product_Dataset3[Price ($)]&gt;=500,"High Price","standard Price")</f>
        <v>standard Price</v>
      </c>
      <c r="I8" s="8">
        <v>5</v>
      </c>
      <c r="J8" s="8" t="s">
        <v>13</v>
      </c>
    </row>
    <row r="9" spans="1:10" x14ac:dyDescent="0.25">
      <c r="A9" s="9" t="s">
        <v>31</v>
      </c>
      <c r="B9" s="9" t="str">
        <f>LEFT(Product_Dataset3[[#This Row],[Product ID]],2)</f>
        <v>23</v>
      </c>
      <c r="C9" s="9" t="str">
        <f>MID(Product_Dataset3[[#This Row],[Product ID]],4,3)</f>
        <v>AUG</v>
      </c>
      <c r="D9" s="4" t="str">
        <f>RIGHT(Product_Dataset3[[#This Row],[Product ID]],2)</f>
        <v>UK</v>
      </c>
      <c r="E9" s="9" t="s">
        <v>32</v>
      </c>
      <c r="F9" s="9" t="s">
        <v>33</v>
      </c>
      <c r="G9" s="9">
        <v>90</v>
      </c>
      <c r="H9" s="9" t="str">
        <f>IF(Product_Dataset3[Price ($)]&gt;=500,"High Price","standard Price")</f>
        <v>standard Price</v>
      </c>
      <c r="I9" s="9">
        <v>35</v>
      </c>
      <c r="J9" s="9" t="s">
        <v>17</v>
      </c>
    </row>
    <row r="10" spans="1:10" x14ac:dyDescent="0.25">
      <c r="A10" s="8" t="s">
        <v>34</v>
      </c>
      <c r="B10" s="8" t="str">
        <f>LEFT(Product_Dataset3[[#This Row],[Product ID]],2)</f>
        <v>05</v>
      </c>
      <c r="C10" s="8" t="str">
        <f>MID(Product_Dataset3[[#This Row],[Product ID]],4,3)</f>
        <v>SEP</v>
      </c>
      <c r="D10" s="3" t="str">
        <f>RIGHT(Product_Dataset3[[#This Row],[Product ID]],2)</f>
        <v>UK</v>
      </c>
      <c r="E10" s="8" t="s">
        <v>35</v>
      </c>
      <c r="F10" s="8" t="s">
        <v>36</v>
      </c>
      <c r="G10" s="8">
        <v>500</v>
      </c>
      <c r="H10" s="8" t="str">
        <f>IF(Product_Dataset3[Price ($)]&gt;=500,"High Price","standard Price")</f>
        <v>High Price</v>
      </c>
      <c r="I10" s="8">
        <v>50</v>
      </c>
      <c r="J10" s="8" t="s">
        <v>9</v>
      </c>
    </row>
    <row r="11" spans="1:10" x14ac:dyDescent="0.25">
      <c r="A11" s="9" t="s">
        <v>37</v>
      </c>
      <c r="B11" s="9" t="str">
        <f>LEFT(Product_Dataset3[[#This Row],[Product ID]],2)</f>
        <v>14</v>
      </c>
      <c r="C11" s="9" t="str">
        <f>MID(Product_Dataset3[[#This Row],[Product ID]],4,3)</f>
        <v>OCT</v>
      </c>
      <c r="D11" s="4" t="str">
        <f>RIGHT(Product_Dataset3[[#This Row],[Product ID]],2)</f>
        <v>UK</v>
      </c>
      <c r="E11" s="9" t="s">
        <v>38</v>
      </c>
      <c r="F11" s="9" t="s">
        <v>39</v>
      </c>
      <c r="G11" s="9">
        <v>130</v>
      </c>
      <c r="H11" s="9" t="str">
        <f>IF(Product_Dataset3[Price ($)]&gt;=500,"High Price","standard Price")</f>
        <v>standard Price</v>
      </c>
      <c r="I11" s="9">
        <v>10</v>
      </c>
      <c r="J11" s="9" t="s">
        <v>24</v>
      </c>
    </row>
    <row r="12" spans="1:10" x14ac:dyDescent="0.25">
      <c r="A12" s="8" t="s">
        <v>40</v>
      </c>
      <c r="B12" s="8" t="str">
        <f>LEFT(Product_Dataset3[[#This Row],[Product ID]],2)</f>
        <v>17</v>
      </c>
      <c r="C12" s="8" t="str">
        <f>MID(Product_Dataset3[[#This Row],[Product ID]],4,3)</f>
        <v>JUN</v>
      </c>
      <c r="D12" s="3" t="str">
        <f>RIGHT(Product_Dataset3[[#This Row],[Product ID]],2)</f>
        <v>IN</v>
      </c>
      <c r="E12" s="8" t="s">
        <v>7</v>
      </c>
      <c r="F12" s="8" t="s">
        <v>41</v>
      </c>
      <c r="G12" s="8">
        <v>950</v>
      </c>
      <c r="H12" s="8" t="str">
        <f>IF(Product_Dataset3[Price ($)]&gt;=500,"High Price","standard Price")</f>
        <v>High Price</v>
      </c>
      <c r="I12" s="8">
        <v>25</v>
      </c>
      <c r="J12" s="8" t="s">
        <v>9</v>
      </c>
    </row>
    <row r="13" spans="1:10" x14ac:dyDescent="0.25">
      <c r="A13" s="9" t="s">
        <v>42</v>
      </c>
      <c r="B13" s="9" t="str">
        <f>LEFT(Product_Dataset3[[#This Row],[Product ID]],2)</f>
        <v>25</v>
      </c>
      <c r="C13" s="9" t="str">
        <f>MID(Product_Dataset3[[#This Row],[Product ID]],4,3)</f>
        <v>NOV</v>
      </c>
      <c r="D13" s="4" t="str">
        <f>RIGHT(Product_Dataset3[[#This Row],[Product ID]],2)</f>
        <v>AU</v>
      </c>
      <c r="E13" s="9" t="s">
        <v>11</v>
      </c>
      <c r="F13" s="9" t="s">
        <v>30</v>
      </c>
      <c r="G13" s="9">
        <v>90</v>
      </c>
      <c r="H13" s="9" t="str">
        <f>IF(Product_Dataset3[Price ($)]&gt;=500,"High Price","standard Price")</f>
        <v>standard Price</v>
      </c>
      <c r="I13" s="9">
        <v>40</v>
      </c>
      <c r="J13" s="9" t="s">
        <v>13</v>
      </c>
    </row>
    <row r="14" spans="1:10" x14ac:dyDescent="0.25">
      <c r="A14" s="8" t="s">
        <v>43</v>
      </c>
      <c r="B14" s="8" t="str">
        <f>LEFT(Product_Dataset3[[#This Row],[Product ID]],2)</f>
        <v>08</v>
      </c>
      <c r="C14" s="8" t="str">
        <f>MID(Product_Dataset3[[#This Row],[Product ID]],4,3)</f>
        <v>DEC</v>
      </c>
      <c r="D14" s="3" t="str">
        <f>RIGHT(Product_Dataset3[[#This Row],[Product ID]],2)</f>
        <v>DE</v>
      </c>
      <c r="E14" s="8" t="s">
        <v>15</v>
      </c>
      <c r="F14" s="8" t="s">
        <v>44</v>
      </c>
      <c r="G14" s="8">
        <v>120</v>
      </c>
      <c r="H14" s="8" t="str">
        <f>IF(Product_Dataset3[Price ($)]&gt;=500,"High Price","standard Price")</f>
        <v>standard Price</v>
      </c>
      <c r="I14" s="8">
        <v>35</v>
      </c>
      <c r="J14" s="8" t="s">
        <v>17</v>
      </c>
    </row>
    <row r="15" spans="1:10" x14ac:dyDescent="0.25">
      <c r="A15" s="9" t="s">
        <v>45</v>
      </c>
      <c r="B15" s="9" t="str">
        <f>LEFT(Product_Dataset3[[#This Row],[Product ID]],2)</f>
        <v>18</v>
      </c>
      <c r="C15" s="9" t="str">
        <f>MID(Product_Dataset3[[#This Row],[Product ID]],4,3)</f>
        <v>FEB</v>
      </c>
      <c r="D15" s="4" t="str">
        <f>RIGHT(Product_Dataset3[[#This Row],[Product ID]],2)</f>
        <v>CA</v>
      </c>
      <c r="E15" s="9" t="s">
        <v>46</v>
      </c>
      <c r="F15" s="9" t="s">
        <v>47</v>
      </c>
      <c r="G15" s="9">
        <v>150</v>
      </c>
      <c r="H15" s="9" t="str">
        <f>IF(Product_Dataset3[Price ($)]&gt;=500,"High Price","standard Price")</f>
        <v>standard Price</v>
      </c>
      <c r="I15" s="9">
        <v>15</v>
      </c>
      <c r="J15" s="9" t="s">
        <v>9</v>
      </c>
    </row>
    <row r="16" spans="1:10" x14ac:dyDescent="0.25">
      <c r="A16" s="8" t="s">
        <v>48</v>
      </c>
      <c r="B16" s="8" t="str">
        <f>LEFT(Product_Dataset3[[#This Row],[Product ID]],2)</f>
        <v>16</v>
      </c>
      <c r="C16" s="8" t="str">
        <f>MID(Product_Dataset3[[#This Row],[Product ID]],4,3)</f>
        <v>APR</v>
      </c>
      <c r="D16" s="3" t="str">
        <f>RIGHT(Product_Dataset3[[#This Row],[Product ID]],2)</f>
        <v>ES</v>
      </c>
      <c r="E16" s="8" t="s">
        <v>26</v>
      </c>
      <c r="F16" s="8" t="s">
        <v>49</v>
      </c>
      <c r="G16" s="8">
        <v>250</v>
      </c>
      <c r="H16" s="8" t="str">
        <f>IF(Product_Dataset3[Price ($)]&gt;=500,"High Price","standard Price")</f>
        <v>standard Price</v>
      </c>
      <c r="I16" s="8">
        <v>20</v>
      </c>
      <c r="J16" s="8" t="s">
        <v>9</v>
      </c>
    </row>
    <row r="17" spans="1:10" x14ac:dyDescent="0.25">
      <c r="A17" s="9" t="s">
        <v>50</v>
      </c>
      <c r="B17" s="9" t="str">
        <f>LEFT(Product_Dataset3[[#This Row],[Product ID]],2)</f>
        <v>21</v>
      </c>
      <c r="C17" s="9" t="str">
        <f>MID(Product_Dataset3[[#This Row],[Product ID]],4,3)</f>
        <v>AUG</v>
      </c>
      <c r="D17" s="4" t="str">
        <f>RIGHT(Product_Dataset3[[#This Row],[Product ID]],2)</f>
        <v>CA</v>
      </c>
      <c r="E17" s="9" t="s">
        <v>51</v>
      </c>
      <c r="F17" s="9" t="s">
        <v>52</v>
      </c>
      <c r="G17" s="9">
        <v>50</v>
      </c>
      <c r="H17" s="9" t="str">
        <f>IF(Product_Dataset3[Price ($)]&gt;=500,"High Price","standard Price")</f>
        <v>standard Price</v>
      </c>
      <c r="I17" s="9">
        <v>35</v>
      </c>
      <c r="J17" s="9" t="s">
        <v>53</v>
      </c>
    </row>
    <row r="18" spans="1:10" x14ac:dyDescent="0.25">
      <c r="A18" s="8" t="s">
        <v>54</v>
      </c>
      <c r="B18" s="8" t="str">
        <f>LEFT(Product_Dataset3[[#This Row],[Product ID]],2)</f>
        <v>20</v>
      </c>
      <c r="C18" s="8" t="str">
        <f>MID(Product_Dataset3[[#This Row],[Product ID]],4,3)</f>
        <v>AUG</v>
      </c>
      <c r="D18" s="3" t="str">
        <f>RIGHT(Product_Dataset3[[#This Row],[Product ID]],2)</f>
        <v>CN</v>
      </c>
      <c r="E18" s="8" t="s">
        <v>46</v>
      </c>
      <c r="F18" s="8" t="s">
        <v>55</v>
      </c>
      <c r="G18" s="8">
        <v>160</v>
      </c>
      <c r="H18" s="8" t="str">
        <f>IF(Product_Dataset3[Price ($)]&gt;=500,"High Price","standard Price")</f>
        <v>standard Price</v>
      </c>
      <c r="I18" s="8">
        <v>15</v>
      </c>
      <c r="J18" s="8" t="s">
        <v>9</v>
      </c>
    </row>
    <row r="19" spans="1:10" x14ac:dyDescent="0.25">
      <c r="A19" s="9" t="s">
        <v>56</v>
      </c>
      <c r="B19" s="9" t="str">
        <f>LEFT(Product_Dataset3[[#This Row],[Product ID]],2)</f>
        <v>27</v>
      </c>
      <c r="C19" s="9" t="str">
        <f>MID(Product_Dataset3[[#This Row],[Product ID]],4,3)</f>
        <v>JAN</v>
      </c>
      <c r="D19" s="4" t="str">
        <f>RIGHT(Product_Dataset3[[#This Row],[Product ID]],2)</f>
        <v>IT</v>
      </c>
      <c r="E19" s="9" t="s">
        <v>7</v>
      </c>
      <c r="F19" s="9" t="s">
        <v>57</v>
      </c>
      <c r="G19" s="9">
        <v>980</v>
      </c>
      <c r="H19" s="9" t="str">
        <f>IF(Product_Dataset3[Price ($)]&gt;=500,"High Price","standard Price")</f>
        <v>High Price</v>
      </c>
      <c r="I19" s="9">
        <v>10</v>
      </c>
      <c r="J19" s="9" t="s">
        <v>9</v>
      </c>
    </row>
    <row r="20" spans="1:10" x14ac:dyDescent="0.25">
      <c r="A20" s="8" t="s">
        <v>58</v>
      </c>
      <c r="B20" s="8" t="str">
        <f>LEFT(Product_Dataset3[[#This Row],[Product ID]],2)</f>
        <v>01</v>
      </c>
      <c r="C20" s="8" t="str">
        <f>MID(Product_Dataset3[[#This Row],[Product ID]],4,3)</f>
        <v>MAR</v>
      </c>
      <c r="D20" s="3" t="str">
        <f>RIGHT(Product_Dataset3[[#This Row],[Product ID]],2)</f>
        <v>UK</v>
      </c>
      <c r="E20" s="8" t="s">
        <v>59</v>
      </c>
      <c r="F20" s="8" t="s">
        <v>60</v>
      </c>
      <c r="G20" s="8">
        <v>150</v>
      </c>
      <c r="H20" s="8" t="str">
        <f>IF(Product_Dataset3[Price ($)]&gt;=500,"High Price","standard Price")</f>
        <v>standard Price</v>
      </c>
      <c r="I20" s="8">
        <v>15</v>
      </c>
      <c r="J20" s="8" t="s">
        <v>13</v>
      </c>
    </row>
    <row r="21" spans="1:10" x14ac:dyDescent="0.25">
      <c r="A21" s="9" t="s">
        <v>61</v>
      </c>
      <c r="B21" s="9" t="str">
        <f>LEFT(Product_Dataset3[[#This Row],[Product ID]],2)</f>
        <v>14</v>
      </c>
      <c r="C21" s="9" t="str">
        <f>MID(Product_Dataset3[[#This Row],[Product ID]],4,3)</f>
        <v>AUG</v>
      </c>
      <c r="D21" s="4" t="str">
        <f>RIGHT(Product_Dataset3[[#This Row],[Product ID]],2)</f>
        <v>US</v>
      </c>
      <c r="E21" s="9" t="s">
        <v>62</v>
      </c>
      <c r="F21" s="9" t="s">
        <v>63</v>
      </c>
      <c r="G21" s="9">
        <v>200</v>
      </c>
      <c r="H21" s="9" t="str">
        <f>IF(Product_Dataset3[Price ($)]&gt;=500,"High Price","standard Price")</f>
        <v>standard Price</v>
      </c>
      <c r="I21" s="9">
        <v>10</v>
      </c>
      <c r="J21" s="9" t="s">
        <v>24</v>
      </c>
    </row>
    <row r="22" spans="1:10" x14ac:dyDescent="0.25">
      <c r="A22" s="8" t="s">
        <v>64</v>
      </c>
      <c r="B22" s="8" t="str">
        <f>LEFT(Product_Dataset3[[#This Row],[Product ID]],2)</f>
        <v>14</v>
      </c>
      <c r="C22" s="8" t="str">
        <f>MID(Product_Dataset3[[#This Row],[Product ID]],4,3)</f>
        <v>MAY</v>
      </c>
      <c r="D22" s="3" t="str">
        <f>RIGHT(Product_Dataset3[[#This Row],[Product ID]],2)</f>
        <v>RU</v>
      </c>
      <c r="E22" s="8" t="s">
        <v>65</v>
      </c>
      <c r="F22" s="8" t="s">
        <v>66</v>
      </c>
      <c r="G22" s="8">
        <v>700</v>
      </c>
      <c r="H22" s="8" t="str">
        <f>IF(Product_Dataset3[Price ($)]&gt;=500,"High Price","standard Price")</f>
        <v>High Price</v>
      </c>
      <c r="I22" s="8">
        <v>50</v>
      </c>
      <c r="J22" s="8" t="s">
        <v>9</v>
      </c>
    </row>
    <row r="23" spans="1:10" x14ac:dyDescent="0.25">
      <c r="A23" s="9" t="s">
        <v>67</v>
      </c>
      <c r="B23" s="9" t="str">
        <f>LEFT(Product_Dataset3[[#This Row],[Product ID]],2)</f>
        <v>09</v>
      </c>
      <c r="C23" s="9" t="str">
        <f>MID(Product_Dataset3[[#This Row],[Product ID]],4,3)</f>
        <v>JAN</v>
      </c>
      <c r="D23" s="4" t="str">
        <f>RIGHT(Product_Dataset3[[#This Row],[Product ID]],2)</f>
        <v>CA</v>
      </c>
      <c r="E23" s="9" t="s">
        <v>68</v>
      </c>
      <c r="F23" s="9" t="s">
        <v>69</v>
      </c>
      <c r="G23" s="9">
        <v>80</v>
      </c>
      <c r="H23" s="9" t="str">
        <f>IF(Product_Dataset3[Price ($)]&gt;=500,"High Price","standard Price")</f>
        <v>standard Price</v>
      </c>
      <c r="I23" s="9">
        <v>20</v>
      </c>
      <c r="J23" s="9" t="s">
        <v>17</v>
      </c>
    </row>
    <row r="24" spans="1:10" x14ac:dyDescent="0.25">
      <c r="A24" s="8" t="s">
        <v>70</v>
      </c>
      <c r="B24" s="8" t="str">
        <f>LEFT(Product_Dataset3[[#This Row],[Product ID]],2)</f>
        <v>19</v>
      </c>
      <c r="C24" s="8" t="str">
        <f>MID(Product_Dataset3[[#This Row],[Product ID]],4,3)</f>
        <v>JUL</v>
      </c>
      <c r="D24" s="3" t="str">
        <f>RIGHT(Product_Dataset3[[#This Row],[Product ID]],2)</f>
        <v>BR</v>
      </c>
      <c r="E24" s="8" t="s">
        <v>71</v>
      </c>
      <c r="F24" s="8" t="s">
        <v>72</v>
      </c>
      <c r="G24" s="8">
        <v>150</v>
      </c>
      <c r="H24" s="8" t="str">
        <f>IF(Product_Dataset3[Price ($)]&gt;=500,"High Price","standard Price")</f>
        <v>standard Price</v>
      </c>
      <c r="I24" s="8">
        <v>30</v>
      </c>
      <c r="J24" s="8" t="s">
        <v>9</v>
      </c>
    </row>
    <row r="25" spans="1:10" x14ac:dyDescent="0.25">
      <c r="A25" s="9" t="s">
        <v>50</v>
      </c>
      <c r="B25" s="9" t="str">
        <f>LEFT(Product_Dataset3[[#This Row],[Product ID]],2)</f>
        <v>21</v>
      </c>
      <c r="C25" s="9" t="str">
        <f>MID(Product_Dataset3[[#This Row],[Product ID]],4,3)</f>
        <v>AUG</v>
      </c>
      <c r="D25" s="4" t="str">
        <f>RIGHT(Product_Dataset3[[#This Row],[Product ID]],2)</f>
        <v>CA</v>
      </c>
      <c r="E25" s="9" t="s">
        <v>51</v>
      </c>
      <c r="F25" s="9" t="s">
        <v>52</v>
      </c>
      <c r="G25" s="9">
        <v>50</v>
      </c>
      <c r="H25" s="9" t="str">
        <f>IF(Product_Dataset3[Price ($)]&gt;=500,"High Price","standard Price")</f>
        <v>standard Price</v>
      </c>
      <c r="I25" s="9">
        <v>35</v>
      </c>
      <c r="J25" s="9" t="s">
        <v>53</v>
      </c>
    </row>
    <row r="26" spans="1:10" x14ac:dyDescent="0.25">
      <c r="A26" s="8" t="s">
        <v>73</v>
      </c>
      <c r="B26" s="8" t="str">
        <f>LEFT(Product_Dataset3[[#This Row],[Product ID]],2)</f>
        <v>29</v>
      </c>
      <c r="C26" s="8" t="str">
        <f>MID(Product_Dataset3[[#This Row],[Product ID]],4,3)</f>
        <v>SEP</v>
      </c>
      <c r="D26" s="3" t="str">
        <f>RIGHT(Product_Dataset3[[#This Row],[Product ID]],2)</f>
        <v>CA</v>
      </c>
      <c r="E26" s="8" t="s">
        <v>19</v>
      </c>
      <c r="F26" s="8" t="s">
        <v>74</v>
      </c>
      <c r="G26" s="8">
        <v>800</v>
      </c>
      <c r="H26" s="8" t="str">
        <f>IF(Product_Dataset3[Price ($)]&gt;=500,"High Price","standard Price")</f>
        <v>High Price</v>
      </c>
      <c r="I26" s="8">
        <v>45</v>
      </c>
      <c r="J26" s="8" t="s">
        <v>9</v>
      </c>
    </row>
    <row r="27" spans="1:10" x14ac:dyDescent="0.25">
      <c r="A27" s="9" t="s">
        <v>75</v>
      </c>
      <c r="B27" s="9" t="str">
        <f>LEFT(Product_Dataset3[[#This Row],[Product ID]],2)</f>
        <v>03</v>
      </c>
      <c r="C27" s="9" t="str">
        <f>MID(Product_Dataset3[[#This Row],[Product ID]],4,3)</f>
        <v>JUN</v>
      </c>
      <c r="D27" s="4" t="str">
        <f>RIGHT(Product_Dataset3[[#This Row],[Product ID]],2)</f>
        <v>CA</v>
      </c>
      <c r="E27" s="9" t="s">
        <v>59</v>
      </c>
      <c r="F27" s="9" t="s">
        <v>76</v>
      </c>
      <c r="G27" s="9">
        <v>130</v>
      </c>
      <c r="H27" s="9" t="str">
        <f>IF(Product_Dataset3[Price ($)]&gt;=500,"High Price","standard Price")</f>
        <v>standard Price</v>
      </c>
      <c r="I27" s="9">
        <v>25</v>
      </c>
      <c r="J27" s="9" t="s">
        <v>13</v>
      </c>
    </row>
    <row r="28" spans="1:10" x14ac:dyDescent="0.25">
      <c r="A28" s="8" t="s">
        <v>77</v>
      </c>
      <c r="B28" s="8" t="str">
        <f>LEFT(Product_Dataset3[[#This Row],[Product ID]],2)</f>
        <v>11</v>
      </c>
      <c r="C28" s="8" t="str">
        <f>MID(Product_Dataset3[[#This Row],[Product ID]],4,3)</f>
        <v>JUL</v>
      </c>
      <c r="D28" s="3" t="str">
        <f>RIGHT(Product_Dataset3[[#This Row],[Product ID]],2)</f>
        <v>CA</v>
      </c>
      <c r="E28" s="8" t="s">
        <v>32</v>
      </c>
      <c r="F28" s="8" t="s">
        <v>78</v>
      </c>
      <c r="G28" s="8">
        <v>400</v>
      </c>
      <c r="H28" s="8" t="str">
        <f>IF(Product_Dataset3[Price ($)]&gt;=500,"High Price","standard Price")</f>
        <v>standard Price</v>
      </c>
      <c r="I28" s="8">
        <v>40</v>
      </c>
      <c r="J28" s="8" t="s">
        <v>17</v>
      </c>
    </row>
    <row r="29" spans="1:10" x14ac:dyDescent="0.25">
      <c r="A29" s="9" t="s">
        <v>48</v>
      </c>
      <c r="B29" s="9" t="str">
        <f>LEFT(Product_Dataset3[[#This Row],[Product ID]],2)</f>
        <v>16</v>
      </c>
      <c r="C29" s="9" t="str">
        <f>MID(Product_Dataset3[[#This Row],[Product ID]],4,3)</f>
        <v>APR</v>
      </c>
      <c r="D29" s="4" t="str">
        <f>RIGHT(Product_Dataset3[[#This Row],[Product ID]],2)</f>
        <v>ES</v>
      </c>
      <c r="E29" s="9" t="s">
        <v>26</v>
      </c>
      <c r="F29" s="9" t="s">
        <v>49</v>
      </c>
      <c r="G29" s="9">
        <v>230</v>
      </c>
      <c r="H29" s="9" t="str">
        <f>IF(Product_Dataset3[Price ($)]&gt;=500,"High Price","standard Price")</f>
        <v>standard Price</v>
      </c>
      <c r="I29" s="9">
        <v>20</v>
      </c>
      <c r="J29" s="9" t="s">
        <v>9</v>
      </c>
    </row>
    <row r="30" spans="1:10" x14ac:dyDescent="0.25">
      <c r="A30" s="8" t="s">
        <v>79</v>
      </c>
      <c r="B30" s="8" t="str">
        <f>LEFT(Product_Dataset3[[#This Row],[Product ID]],2)</f>
        <v>07</v>
      </c>
      <c r="C30" s="8" t="str">
        <f>MID(Product_Dataset3[[#This Row],[Product ID]],4,3)</f>
        <v>MAR</v>
      </c>
      <c r="D30" s="3" t="str">
        <f>RIGHT(Product_Dataset3[[#This Row],[Product ID]],2)</f>
        <v>CA</v>
      </c>
      <c r="E30" s="8" t="s">
        <v>80</v>
      </c>
      <c r="F30" s="8" t="s">
        <v>81</v>
      </c>
      <c r="G30" s="8">
        <v>60</v>
      </c>
      <c r="H30" s="8" t="str">
        <f>IF(Product_Dataset3[Price ($)]&gt;=500,"High Price","standard Price")</f>
        <v>standard Price</v>
      </c>
      <c r="I30" s="8">
        <v>30</v>
      </c>
      <c r="J30" s="8" t="s">
        <v>13</v>
      </c>
    </row>
    <row r="31" spans="1:10" x14ac:dyDescent="0.25">
      <c r="A31" s="9" t="s">
        <v>82</v>
      </c>
      <c r="B31" s="9" t="str">
        <f>LEFT(Product_Dataset3[[#This Row],[Product ID]],2)</f>
        <v>13</v>
      </c>
      <c r="C31" s="9" t="str">
        <f>MID(Product_Dataset3[[#This Row],[Product ID]],4,3)</f>
        <v>APR</v>
      </c>
      <c r="D31" s="4" t="str">
        <f>RIGHT(Product_Dataset3[[#This Row],[Product ID]],2)</f>
        <v>CA</v>
      </c>
      <c r="E31" s="9" t="s">
        <v>83</v>
      </c>
      <c r="F31" s="9" t="s">
        <v>84</v>
      </c>
      <c r="G31" s="9">
        <v>40</v>
      </c>
      <c r="H31" s="9" t="str">
        <f>IF(Product_Dataset3[Price ($)]&gt;=500,"High Price","standard Price")</f>
        <v>standard Price</v>
      </c>
      <c r="I31" s="9">
        <v>10</v>
      </c>
      <c r="J31" s="9" t="s">
        <v>17</v>
      </c>
    </row>
    <row r="32" spans="1:10" x14ac:dyDescent="0.25">
      <c r="A32" s="8" t="s">
        <v>85</v>
      </c>
      <c r="B32" s="8" t="str">
        <f>LEFT(Product_Dataset3[[#This Row],[Product ID]],2)</f>
        <v>24</v>
      </c>
      <c r="C32" s="8" t="str">
        <f>MID(Product_Dataset3[[#This Row],[Product ID]],4,3)</f>
        <v>MAY</v>
      </c>
      <c r="D32" s="3" t="str">
        <f>RIGHT(Product_Dataset3[[#This Row],[Product ID]],2)</f>
        <v>CA</v>
      </c>
      <c r="E32" s="8" t="s">
        <v>71</v>
      </c>
      <c r="F32" s="8" t="s">
        <v>86</v>
      </c>
      <c r="G32" s="8">
        <v>130</v>
      </c>
      <c r="H32" s="8" t="str">
        <f>IF(Product_Dataset3[Price ($)]&gt;=500,"High Price","standard Price")</f>
        <v>standard Price</v>
      </c>
      <c r="I32" s="8">
        <v>5</v>
      </c>
      <c r="J32" s="8" t="s">
        <v>9</v>
      </c>
    </row>
    <row r="33" spans="1:10" x14ac:dyDescent="0.25">
      <c r="A33" s="9" t="s">
        <v>87</v>
      </c>
      <c r="B33" s="9" t="str">
        <f>LEFT(Product_Dataset3[[#This Row],[Product ID]],2)</f>
        <v>02</v>
      </c>
      <c r="C33" s="9" t="str">
        <f>MID(Product_Dataset3[[#This Row],[Product ID]],4,3)</f>
        <v>DEC</v>
      </c>
      <c r="D33" s="4" t="str">
        <f>RIGHT(Product_Dataset3[[#This Row],[Product ID]],2)</f>
        <v>CA</v>
      </c>
      <c r="E33" s="9" t="s">
        <v>88</v>
      </c>
      <c r="F33" s="9" t="s">
        <v>89</v>
      </c>
      <c r="G33" s="9">
        <v>50</v>
      </c>
      <c r="H33" s="9" t="str">
        <f>IF(Product_Dataset3[Price ($)]&gt;=500,"High Price","standard Price")</f>
        <v>standard Price</v>
      </c>
      <c r="I33" s="9">
        <v>50</v>
      </c>
      <c r="J33" s="9" t="s">
        <v>13</v>
      </c>
    </row>
    <row r="34" spans="1:10" x14ac:dyDescent="0.25">
      <c r="A34" s="8" t="s">
        <v>40</v>
      </c>
      <c r="B34" s="8" t="str">
        <f>LEFT(Product_Dataset3[[#This Row],[Product ID]],2)</f>
        <v>17</v>
      </c>
      <c r="C34" s="8" t="str">
        <f>MID(Product_Dataset3[[#This Row],[Product ID]],4,3)</f>
        <v>JUN</v>
      </c>
      <c r="D34" s="3" t="str">
        <f>RIGHT(Product_Dataset3[[#This Row],[Product ID]],2)</f>
        <v>IN</v>
      </c>
      <c r="E34" s="8" t="s">
        <v>7</v>
      </c>
      <c r="F34" s="8" t="s">
        <v>41</v>
      </c>
      <c r="G34" s="8">
        <v>950</v>
      </c>
      <c r="H34" s="8" t="str">
        <f>IF(Product_Dataset3[Price ($)]&gt;=500,"High Price","standard Price")</f>
        <v>High Price</v>
      </c>
      <c r="I34" s="8">
        <v>25</v>
      </c>
      <c r="J34" s="8" t="s">
        <v>9</v>
      </c>
    </row>
    <row r="35" spans="1:10" x14ac:dyDescent="0.25">
      <c r="A35" s="9" t="s">
        <v>90</v>
      </c>
      <c r="B35" s="9" t="str">
        <f>LEFT(Product_Dataset3[[#This Row],[Product ID]],2)</f>
        <v>09</v>
      </c>
      <c r="C35" s="9" t="str">
        <f>MID(Product_Dataset3[[#This Row],[Product ID]],4,3)</f>
        <v>JUL</v>
      </c>
      <c r="D35" s="4" t="str">
        <f>RIGHT(Product_Dataset3[[#This Row],[Product ID]],2)</f>
        <v>FR</v>
      </c>
      <c r="E35" s="9" t="s">
        <v>91</v>
      </c>
      <c r="F35" s="9" t="s">
        <v>92</v>
      </c>
      <c r="G35" s="9">
        <v>100</v>
      </c>
      <c r="H35" s="9" t="str">
        <f>IF(Product_Dataset3[Price ($)]&gt;=500,"High Price","standard Price")</f>
        <v>standard Price</v>
      </c>
      <c r="I35" s="9">
        <v>20</v>
      </c>
      <c r="J35" s="9" t="s">
        <v>53</v>
      </c>
    </row>
    <row r="38" spans="1:10" s="17" customFormat="1" x14ac:dyDescent="0.25">
      <c r="A38" s="17" t="s">
        <v>126</v>
      </c>
    </row>
    <row r="39" spans="1:10" s="23" customFormat="1" x14ac:dyDescent="0.25"/>
    <row r="40" spans="1:10" s="18" customFormat="1" x14ac:dyDescent="0.25"/>
    <row r="41" spans="1:10" s="10" customFormat="1" x14ac:dyDescent="0.25">
      <c r="A41" s="25" t="s">
        <v>93</v>
      </c>
      <c r="B41" s="24" t="s">
        <v>125</v>
      </c>
      <c r="C41" s="16"/>
    </row>
    <row r="42" spans="1:10" x14ac:dyDescent="0.25">
      <c r="A42" s="22" t="s">
        <v>127</v>
      </c>
      <c r="B42" s="19">
        <f>SUM(Product_Dataset[Price ($)])</f>
        <v>10100</v>
      </c>
    </row>
    <row r="43" spans="1:10" x14ac:dyDescent="0.25">
      <c r="A43" s="22" t="s">
        <v>128</v>
      </c>
      <c r="B43" s="19">
        <f>COUNTA(Product_Dataset[Product ID])</f>
        <v>34</v>
      </c>
    </row>
    <row r="44" spans="1:10" x14ac:dyDescent="0.25">
      <c r="A44" s="22" t="s">
        <v>129</v>
      </c>
      <c r="B44" s="19">
        <f>AVERAGE(Product_Dataset[Price ($)])</f>
        <v>297.05882352941177</v>
      </c>
    </row>
    <row r="45" spans="1:10" x14ac:dyDescent="0.25">
      <c r="A45" s="22" t="s">
        <v>130</v>
      </c>
      <c r="B45" s="19">
        <v>30</v>
      </c>
    </row>
    <row r="46" spans="1:10" x14ac:dyDescent="0.25">
      <c r="A46" s="22" t="s">
        <v>131</v>
      </c>
      <c r="B46" s="20">
        <v>1000</v>
      </c>
    </row>
    <row r="47" spans="1:10" x14ac:dyDescent="0.25">
      <c r="A47" s="22" t="s">
        <v>132</v>
      </c>
      <c r="B47" s="20">
        <v>8050</v>
      </c>
    </row>
    <row r="48" spans="1:10" x14ac:dyDescent="0.25">
      <c r="A48" s="22" t="s">
        <v>133</v>
      </c>
      <c r="B48" s="20">
        <v>11</v>
      </c>
    </row>
    <row r="49" spans="1:2" x14ac:dyDescent="0.25">
      <c r="A49" s="22" t="s">
        <v>106</v>
      </c>
      <c r="B49" s="21" t="s">
        <v>134</v>
      </c>
    </row>
    <row r="50" spans="1:2" x14ac:dyDescent="0.25">
      <c r="A50" s="22" t="s">
        <v>122</v>
      </c>
      <c r="B50" s="21" t="s">
        <v>136</v>
      </c>
    </row>
    <row r="51" spans="1:2" x14ac:dyDescent="0.25">
      <c r="A51" s="22" t="s">
        <v>124</v>
      </c>
      <c r="B51" s="21" t="s">
        <v>137</v>
      </c>
    </row>
    <row r="52" spans="1:2" x14ac:dyDescent="0.25">
      <c r="A52" s="22" t="s">
        <v>135</v>
      </c>
      <c r="B52" s="21" t="s">
        <v>138</v>
      </c>
    </row>
  </sheetData>
  <mergeCells count="2">
    <mergeCell ref="A38:XFD38"/>
    <mergeCell ref="A40:XFD4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Working_sheet</vt:lpstr>
      <vt:lpstr>Assignement_Table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Gomathy Sathish</cp:lastModifiedBy>
  <dcterms:modified xsi:type="dcterms:W3CDTF">2026-10-29T16:51:25Z</dcterms:modified>
</cp:coreProperties>
</file>